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mb3g23/Desktop/ACF/ACF research/Dushi/CAP/Meta_analysis_tanvi/"/>
    </mc:Choice>
  </mc:AlternateContent>
  <xr:revisionPtr revIDLastSave="0" documentId="8_{1AD2BA98-D651-3547-AA8A-A53D25A22DD6}" xr6:coauthVersionLast="47" xr6:coauthVersionMax="47" xr10:uidLastSave="{00000000-0000-0000-0000-000000000000}"/>
  <bookViews>
    <workbookView xWindow="0" yWindow="680" windowWidth="34200" windowHeight="21460" xr2:uid="{33AE7E82-6E3B-3D46-AD36-F709D83D73B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9" i="1" l="1"/>
</calcChain>
</file>

<file path=xl/sharedStrings.xml><?xml version="1.0" encoding="utf-8"?>
<sst xmlns="http://schemas.openxmlformats.org/spreadsheetml/2006/main" count="691" uniqueCount="584">
  <si>
    <t>number</t>
  </si>
  <si>
    <t>title</t>
  </si>
  <si>
    <t>year</t>
  </si>
  <si>
    <t>journal</t>
  </si>
  <si>
    <t>volume</t>
  </si>
  <si>
    <t>authors</t>
  </si>
  <si>
    <t>Severe pneumonia in patients with systemic lupus erythematosus admitted to the intensive care unit</t>
  </si>
  <si>
    <t>Zeitschrift fur Rheumatologie</t>
  </si>
  <si>
    <t>Zhang B. and Zheng L. and Huang Y.</t>
  </si>
  <si>
    <t>Decreased serum level of lipoprotein cholesterol is a poor prognostic factor for patients with severe community-acquired pneumonia that required intensive care unit admission.</t>
  </si>
  <si>
    <t>Journal of critical care</t>
  </si>
  <si>
    <t>Chien, Yu-Fen and Chen, Chung-Yu and Hsu, Chia-Lin and Chen, Kuan-Yu and Yu, Chong-Jen</t>
  </si>
  <si>
    <t>Plasma transforming growth factor-beta1 level in patients with severe community-acquired pneumonia and association with disease severity</t>
  </si>
  <si>
    <t>Journal of the Formosan Medical Association</t>
  </si>
  <si>
    <t>Wu H.-P. and Chen C.-K. and Chung K. and Jiang B.-Y. and Yu T.-J. and Chuang D.-Y.</t>
  </si>
  <si>
    <t>Prediction of mortality risk in patients with severe community-acquired pneumonia in the intensive care unit using machine learning</t>
  </si>
  <si>
    <t>Scientific reports</t>
  </si>
  <si>
    <t>Pan J. and Guo T. and Kong H. and Bu W. and Shao M. and Geng Z.</t>
  </si>
  <si>
    <t>Benefit of Empiric Antiviral Treatment for Patients with Influenza-Associated Pneumonia Admitted to the Intensive Care Unit: A Retrospective Cohort Study</t>
  </si>
  <si>
    <t>American Journal of Tropical Medicine and Hygiene</t>
  </si>
  <si>
    <t>Pai Y.-T. and Huang Y.-K. and Su C.-P. and Huang C.-T.</t>
  </si>
  <si>
    <t>The Burden of Hospitalization and Rehospitalization Among Patients Hospitalized with Severe Community-Acquired Bacterial Pneumonia in the United States, 2018-2022</t>
  </si>
  <si>
    <t>Antibiotics</t>
  </si>
  <si>
    <t>Zilberberg M.D. and Greenberg M. and Curt V. and Shorr A.F.</t>
  </si>
  <si>
    <t>Sex-related differences in the management and outcome of intubated adults with community-acquired pneumonia in Europe: A multicentre study.</t>
  </si>
  <si>
    <t>European journal of internal medicine</t>
  </si>
  <si>
    <t>Garin, Nicolas and Koulenti, Despoina and Prendki, Virginie and Rello, Jordi</t>
  </si>
  <si>
    <t>Advancing ICU mortality prediction in community-acquired pneumonia: Combining fibrinogen-to-albumin ratio, CT severity score, PSI, and CURB-65.</t>
  </si>
  <si>
    <t>Biomolecules &amp; biomedicine</t>
  </si>
  <si>
    <t>Unal Cetin, Ece and Kurtkulagi, Ozge and Kamis, Fatih and Das, Murat and Simsek, Esen and Cetin, Adil Ugur and Beyazit, Yavuz</t>
  </si>
  <si>
    <t>The value of scoring systems in predicting respiratory intensive care unit admission and 30-day mortality in hospitalized community-acquired pneumonia: A prospective study.</t>
  </si>
  <si>
    <t>Medicine</t>
  </si>
  <si>
    <t>Le-Thi, Kim-Chi and Nguyen-Dang, Khoa and Le-Thi, Thu-Huong</t>
  </si>
  <si>
    <t>The impact of oral anticoagulants on mortality from pneumonia: a propensity score matching analysis.</t>
  </si>
  <si>
    <t>Current medical research and opinion</t>
  </si>
  <si>
    <t>Ryll, Martin J and Aster, Isabell and Zodl, Aurelia and Thaler, Sarah and Rieder, Clemens and Tomasi, Roland and Groene, Philipp</t>
  </si>
  <si>
    <t>Severe community-acquired pneumonia in immunosuppressed patients admitted to the ICU.</t>
  </si>
  <si>
    <t>Respiratory medicine</t>
  </si>
  <si>
    <t>Vinan Garces, Andre Emilio and Sanabria-Herrera, Natalia and Duque, Sara and Garcia-Gallo, Esteban and Rodriguez, Alejandro and Oliveros, Henry and Serrano-Mayorga, Cristian C and Conway Morris, Andrew and Martin-Loeches, Ignacio and Reyes, Luis Felipe</t>
  </si>
  <si>
    <t>Clinical impact of bronchoalveolar lavage fluid metagenomic        next-generation sequencing in immunocompromised patients with severe        community-acquired pneumonia in ICU: a multicenter retrospective study</t>
  </si>
  <si>
    <t>INFECTION</t>
  </si>
  <si>
    <t>Zhao, Junjie and Zhuge, Runxi and Hu, Bangchuan and Wang, Yesong and Wang, Xingxing and Zhang, Yi and Yuan, Lingmin and Qiu, Canhu and Yan, Youqin and Zhang, Xiaojing and Hua, Zhidan and Tang, Jing and Guo, Kai and Sun, Yong and Wang, Kaiyu and Qiu, Liyan and Luo, Jian and Zhang, Weiwen and Zhuge, Jiancheng and Fang, Honglong</t>
  </si>
  <si>
    <t>Effect of hydrocortisone on mortality in patients with severe        community-acquired pneumonia The REMAP-CAP Corticosteroid Domain        Randomized Clinical Trial</t>
  </si>
  <si>
    <t>INTENSIVE CARE MEDICINE</t>
  </si>
  <si>
    <t>Angus, Derek C. and Heming, Nicholas and Berry, Lindsay and Lorenzi, Elizabeth and Hills, Thomas E. and Higgins, Alisa M. and Arabi, Yaseen and Aryal, Diptesh and Beane, Abigail and Best-Lane, Janis and Bonten, Marc and Bradbury, Charlotte and Brunkhorst, Frank and Burrell, Aidan and Buxton, Meredith and Cecconi, Maurizio and Chalmers, James D. and Cheng, Allen C. and Cooke, Graham and Cove, Matthew E. and Dark, Paul and Derde, Lennie and Detry, Michelle A. and Estcourt, Lise J. and Fitzgerald, Mark and Gordon, Anthony C. and Green, Cameron and Haniffa, Rashan and Hashmi, Madiha and Hays, Leanne and Horvat, Christopher and Huang, David T. and Ichihara, Nao and Jayakumar, Devachandran and Kruger, Peter S. and Lamontagne, Francois and Lawler, Patrick R. and Lewis, Roger J. and Litton, Edward and Marshall, John C. and McArthur, Colin J. and McAuley, Daniel F. and McGlothlin, Anna and McGuinness, Shay and McQuilten, Zoe and McVerry, Bryan J. and Morpeth, Susan C. and Mouncey, Paul R. and Nichol, Alistair D. and Parke, Rachael L. and Parker, Jane C. and Peters, Svenja and Ramnarayan, Padmanabhan and Reyes, Luis Felipe and Rowan, Kathryn M. and Saito, Hiroki and Santos, Marlene S. and Saunders, Christina T. and Seymour, Christopher and Shankar-Hari, Manu and Singh, Vanessa and Tambyah, Paul A. and Turgeon, Alexis F. and Turner, Anne M. and Ustianowski, Andrew and van de Veerdonk, Frank L. and Waite, Alicia A. C. and Whittaker, Elizabeth and Zarychanski, Ryan and Murthy, Srinivas and Webb, Steven A. and Berry, Scott and Venkatesh, Balasubramanian and Annane, Djillali and Angus, Derek C. and REMAP-CAP Investigators</t>
  </si>
  <si>
    <t>COMPARISON OF THREE SEVERITY SCORING MODELS FOR MORTALITY PREDICTION OF COMMUNITY-ACQUIRED PNEUMONIA</t>
  </si>
  <si>
    <t>Journal of IMAB - Annual Proceeding (Scientific Papers)</t>
  </si>
  <si>
    <t>Spasovska K. and Grozdanovski K. and Rangelov G. and Cvetanovska M. and Cana F. and Kuzmanovski N. and Kapsarov K.</t>
  </si>
  <si>
    <t>Identifying subgroup of severe community-acquired pneumonia based on clinical metagenomics, a multicenter retrospective cohort study</t>
  </si>
  <si>
    <t>Frontiers in Cellular and Infection Microbiology</t>
  </si>
  <si>
    <t>Wang M. and Jin Y. and Zhang W. and Ye L. and Shao H.</t>
  </si>
  <si>
    <t>Heparin-binding protein as a predictor of mortality in patients with diabetes mellitus and community-acquired pneumonia in intensive care unit: a propensity score matched study</t>
  </si>
  <si>
    <t>World Journal of Emergency Medicine</t>
  </si>
  <si>
    <t>Sun Y. and Sun B. and Ren Z. and Xue M. and Zhu C. and Liu Q.</t>
  </si>
  <si>
    <t>Community-acquired Klebsiella pneumoniae pneumonia in ICU: a multicenter retrospective study</t>
  </si>
  <si>
    <t>Annals of Intensive Care</t>
  </si>
  <si>
    <t>Grosjean V. and Gressens S.B. and Pham T. and Gaudry S. and Ait-Oufella H. and De Prost N. and Mayaux J. and Guerot E. and Leflon-Guibout V. and Mayer N. and Bert F. and Gault N. and Massonnaud C.R. and Roux D.</t>
  </si>
  <si>
    <t>Hospital Outcomes in Patients Who Developed Acute Respiratory Distress Syndrome After Community-Acquired Pneumonia.</t>
  </si>
  <si>
    <t>Journal of intensive care medicine</t>
  </si>
  <si>
    <t>Kasotakis, George and Pant, Praruj and Patel, Akash D and Ahmed, Yousef and Raghunathan, Karthik and Krishnamoorthy, Vijay and Ohnuma, Tetsu</t>
  </si>
  <si>
    <t>The Utility of C-Reactive Protein, Procalcitonin, and Leukocyte Values in Predicting the Prognosis of Patients with Pneumosepsis and Septic Shock</t>
  </si>
  <si>
    <t>Medicina (Kaunas, Lithuania)</t>
  </si>
  <si>
    <t>Doganci M. and Eraslan Doganay G. and Sazak H. and Alagoz A. and Cirik M.O. and Hosgun D. and Cakiroglu E.B. and Yildiz M. and Ari M. and Ozdemir T. and Kizilgoz D.</t>
  </si>
  <si>
    <t>A targeted likelihood estimation comparing cefepime and piperacillin/tazobactam in critically ill patients with community-acquired pneumonia (CAP)</t>
  </si>
  <si>
    <t>Serrano-Mayorga C.C. and Duque S. and Ibanez-Prada E.D. and Garcia-Gallo E. and Arrieta M.P.R. and Bastidas A. and Rodriguez A. and Martin-Loeches I. and Reyes L.F.</t>
  </si>
  <si>
    <t>Low thoracic skeletal muscle is a risk factor for 6-month mortality of        severe community-acquired pneumonia in older men in intensive care unit</t>
  </si>
  <si>
    <t>BMC PULMONARY MEDICINE</t>
  </si>
  <si>
    <t>Zhang, Mengqin and Dong, Cuicui and Jiang, Yongpo and Guo, Fangjun and Cui, Ke and Zhang, Sheng and Xu, Yinghe and Yang, Yang</t>
  </si>
  <si>
    <t>Cluster analysis of thoracic muscle mass using artificial intelligence        in severe pneumonia</t>
  </si>
  <si>
    <t>SCIENTIFIC REPORTS</t>
  </si>
  <si>
    <t>Choi, Yoon-Hee and Kim, Dong Hyun and Jeon, Eun-Tae and Lee, Hyo Jin and Park, Tae Yun and Yoon, Soon Ho and Jin, Kwang Nam and Lee, Hyun Woo</t>
  </si>
  <si>
    <t>A Randomized Clinical Trial of Bayesian-Guided Beta-Lactam Infusion Strategy and Associated Bacterial Resistance and Clinical Outcomes in Patients With Severe Pneumonia</t>
  </si>
  <si>
    <t>Therapeutic Drug Monitoring</t>
  </si>
  <si>
    <t>Maranchick N.F. and Trillo-Alvarez C. and Kariyawasam V. and Venugopalan V. and Kwara A. and Rand K. and Peloquin C.A. and Alshaer M.H.</t>
  </si>
  <si>
    <t>Predictive value of arterial blood lactate to serum albumin ratio for in-hospital mortality of patients with community-acquired pneumonia admitted to the Intensive Care Unit.</t>
  </si>
  <si>
    <t>Postgraduate medicine</t>
  </si>
  <si>
    <t>Xu, Chaoqun and Liu, Haoran and Zhang, Hao and Zeng, Jun and Li, Quan and Yi, Yang and Li, Nan and Cheng, Ruxin and Li, Qi and Zhou, Xiangdong and Lv, Chuanzhu</t>
  </si>
  <si>
    <t>Validation of IDSA/ATS Guidelines for ICU Admission in Adults Over 80 Years Old With Community-Acquired Pneumonia</t>
  </si>
  <si>
    <t>Archivos de Bronconeumologia</t>
  </si>
  <si>
    <t>Cilloniz C. and Ferrer M. and Pericas J.M. and Serrano L. and Mendez R. and Gabarrus A. and Peroni H.J. and Ruiz L.A. and Menendez R. and Zalacain R. and Torres A.</t>
  </si>
  <si>
    <t>Meningitis in critically ill patients admitted to intensive care unit for severe community-acquired pneumococcal pneumonia</t>
  </si>
  <si>
    <t>Jaubert P. and Charpentier J. and Benghanem S. and Cariou A. and Pene F. and Mira J.-P. and Jozwiak M.</t>
  </si>
  <si>
    <t>Outcomes of patients admitted to the intensive care unit with community-acquired pneumonia in a tertiary care center in Riyadh, Saudi Arabia</t>
  </si>
  <si>
    <t>Annals of Thoracic Medicine</t>
  </si>
  <si>
    <t>Oreibi T. and Alenezi F. and Ahmed A.M. and Humaid F.B. and Sadat M. and Tamim H.M. and Baseet F.F. and Naidu B. and Arabi Y.M.</t>
  </si>
  <si>
    <t>Prediction accuracy of commonly used pneumonia severity scores in Aboriginal patients with severe community-acquired pneumonia: a retrospective study</t>
  </si>
  <si>
    <t>Internal Medicine Journal</t>
  </si>
  <si>
    <t>Tsai D. and Secombe P. and Chiong F. and Ullah S. and Lipman J. and Hewagama S.</t>
  </si>
  <si>
    <t>Early discontinuation of combination antibiotic therapy in severe community-acquired pneumonia: a retrospective cohort study</t>
  </si>
  <si>
    <t>BMC Infectious Diseases</t>
  </si>
  <si>
    <t>Guillot P. and Delamaire F. and Gacouin A. and Painvin B. and Piau C. and Reizine F. and Lesouhaitier M. and Tadie J.-M. and Maamar A.</t>
  </si>
  <si>
    <t>Clinical characteristics and outcomes of immunocompromised patients with        severe community-acquired pneumonia: A single-center retrospective        cohort study</t>
  </si>
  <si>
    <t>FRONTIERS IN PUBLIC HEALTH</t>
  </si>
  <si>
    <t>Wu, Xiaojing and Sun, Ting and Cai, Ying and Zhai, Tianshu and Liu, Yijie and Gu, Sichao and Zhou, Yun and Zhan, Qingyuan</t>
  </si>
  <si>
    <t>Association of admission lactate with mortality in adult patients with        severe community-acquired pneumonia</t>
  </si>
  <si>
    <t>AMERICAN JOURNAL OF EMERGENCY MEDICINE</t>
  </si>
  <si>
    <t>Huang, Dong and He, Dingxiu and Yao, Rong and Wang, Wen and He, Qiao and Wu, Zhenru and Shi, Yujun and Liang, Zongan</t>
  </si>
  <si>
    <t>Clinical features and outcome of influenza pneumonia in critically-ill immunocompromised patients.</t>
  </si>
  <si>
    <t>Raymond, Matthieu and Martin, Maelle and Lamouche-Wilquin, Pauline and Blonz, Gauthier and Decamps, Paul and Agbakou, Maite and Desmedt, Luc and Reignier, Jean and Lascarrou, Jean-Baptiste and Canet, Emmanuel</t>
  </si>
  <si>
    <t>Impact of Aspergillus spp. isolation in the first 24 hours of admission in critically ill patients with severe influenza virus pneumonia</t>
  </si>
  <si>
    <t>Medicina Intensiva</t>
  </si>
  <si>
    <t>Claverias L. and Daniel X. and Martin-Loeches I. and Vidal-Cortez P. and Gomez-Bertomeu F. and Trefler S. and Zaragoza R. and Borges-Sa M. and Reyes L.F. and Quindos G. and Peman J. and Bodi M. and Diaz E. and Sarvise C. and Pico E. and Papiol E. and Sole-Violan J. and Marin-Corral J. and Guardiola J.J. and Rodriguez A.</t>
  </si>
  <si>
    <t>A prediction model for hospital mortality in patients with severe        community-acquired pneumonia and chronic obstructive pulmonary disease</t>
  </si>
  <si>
    <t>RESPIRATORY RESEARCH</t>
  </si>
  <si>
    <t>Huang, Dong and He, Dingxiu and Gong, Linjing and Yao, Rong and Wang, Wen and Yang, Lei and Zhang, Zhongwei and He, Qiao and Wu, Zhenru and Shi, Yujun and Liang, Zongan</t>
  </si>
  <si>
    <t>Predictive value of arterial blood lactate/serum albumin ratio for        myocardial injury in elderly patients with severe community-acquired        pneumonia</t>
  </si>
  <si>
    <t>MEDICINE</t>
  </si>
  <si>
    <t>Zhang, Litao and Li, Yanpeng and Lv, Chang and Guo, Hui and Xu, Tieling and Ma, Zhichao and Li, Jianguo</t>
  </si>
  <si>
    <t>Safety of early discontinuation of an empiric combination antibiotic regimen in severe community-acquired pneumonia: the STOP study</t>
  </si>
  <si>
    <t>Guillot P. and Delamaire F. and Painvin B. and Piau C. and Reizine F. and Lesouhaitier M. and Gacouin A. and Tadie J.-M. and Maamar A.</t>
  </si>
  <si>
    <t>Risk factors associated to noninvasive ventilation failure in primary influenza A pneumonia in the critical care setting.</t>
  </si>
  <si>
    <t>Medicina intensiva</t>
  </si>
  <si>
    <t>Hernandez Garces, H and Navarro Lacalle, A and Lizama Lopez, L and Zaragoza Crespo, R</t>
  </si>
  <si>
    <t>Mortality prediction using clinical and laboratory features in elderly        patients with severe community-acquired pneumonia</t>
  </si>
  <si>
    <t>ANNALS OF PALLIATIVE MEDICINE</t>
  </si>
  <si>
    <t>Zhu, Yaoli and Zheng, Xiaobin and Huang, Kaizhuang and Tan, Cuiyan and Li, Yaoyao and Zhu, Weiping and Liu, Ning and Zhou, Yi and Chen, Hua and Li, Peng and Cao, Qingdong and Chen, Minying</t>
  </si>
  <si>
    <t>Comparison of prognostic factors between bacteraemic and non-bacteraemic critically ill immunocompetent patients in community-acquired severe pneumococcal pneumonia: a STREPTOGENE sub-study</t>
  </si>
  <si>
    <t>Bellut H. and Porcher R. and Varon E. and Asfar P. and Le Tulzo Y. and Megarbane B. and Mathonnet A. and Dugard A. and Veinstein A. and Ouchenir K. and Siami S. and Reignier J. and Galbois A. and Cousson J. and Preau S. and Baldesi O. and Rigaud J.-P. and Souweine B. and Misset B. and Jacobs F. and Dewavrin F. and Mira J.-P. and Bedos J.-P.</t>
  </si>
  <si>
    <t>Plasma Ferritin as Marker of Macrophage Activation-Like Syndrome in Critically Ill Patients With Community-Acquired Pneumonia</t>
  </si>
  <si>
    <t>Critical Care Medicine</t>
  </si>
  <si>
    <t>Brands X. and De Vries F.M.C. and Uhel F. and Haak B.W. and Peters-Sengers H. and Schuurman A.R. and Van Engelen T.S.R. and Lutter R. and Cremer O.L. and Bonten M.J. and Schultz M.J. and Scicluna B.P. and Van Der Poll T.</t>
  </si>
  <si>
    <t>Impact of corticosteroid administration within 7 days of the hospitalization for influenza pneumonia with respiratory failure: A propensity score analysis using a nationwide administrative database</t>
  </si>
  <si>
    <t>Journal of Clinical Medicine</t>
  </si>
  <si>
    <t>Okuno D. and Kido T. and Muramatsu K. and Tokutsu K. and Moriyama S. and Miyamura T. and Hara A. and Ishimoto H. and Yamaguchi H. and Miyazaki T. and Sakamoto N. and Obase Y. and Ishimatsu Y. and Fujino Y. and Yatera K. and Matsuda S. and Mukae H.</t>
  </si>
  <si>
    <t>Early oseltamivir treatment improves survival in critically ill patients with influenza pneumonia</t>
  </si>
  <si>
    <t>ERJ Open Research</t>
  </si>
  <si>
    <t>Moreno G. and Rodriguez A. and Sole-Violan J. and Martin-Loeches I. and Diaz E. and Bodi M. and Reyes L.F. and Gomez J. and Guardiola J. and Trefler S. and Vidaur L. and Papiol E. and Socias L. and Garcia-Vidal C. and Correig E. and Marin-Corral J. and Restrepo M.I. and Nguyen-Van-tam J.S. and Torres A.</t>
  </si>
  <si>
    <t>Pneumococal community-acquired pneumonia in the intensive care unit: Azithromycin remains protective despite macrolide resistance</t>
  </si>
  <si>
    <t>Respiratory Medicine</t>
  </si>
  <si>
    <t>Shorr A.F. and Simmons J. and Hampton N. and Micek S.T. and Kollef M.H.</t>
  </si>
  <si>
    <t>Prognostic value of clinical scoring systems and coagulation parameters in severe community aquired pneumonia</t>
  </si>
  <si>
    <t>Egyptian Journal of Chest Diseases and Tuberculosis</t>
  </si>
  <si>
    <t>Abdelaziz A. and Saeed Z. and Mohamed A. and Mohamed N.</t>
  </si>
  <si>
    <t>Prognostic value of procalcitonin and c-reactive protein in 1608 critically ill patients with severe influenza pneumonia</t>
  </si>
  <si>
    <t>Carbonell R. and Moreno G. and Martin-Loeches I. and Gomez-Bertomeu F. and Sarvise C. and Gomez J. and Bodi M. and Diaz E. and Papiol E. and Trefler S. and Nieto M. and Estella A. and Herrera M.J. and Cortes P.V. and Guardiola J.J. and Sole-Violan J. and Rodriguez A.</t>
  </si>
  <si>
    <t>Association between delay in intensive care unit admission and the host response in patients with community-acquired pneumonia</t>
  </si>
  <si>
    <t>Pereverzeva L. and Uhel F. and Peters Sengers H. and Cremer O.L. and Schultz M.J. and Bonten M.M.J. and Scicluna B.P. and van der Poll T.</t>
  </si>
  <si>
    <t>Real-world corticosteroid use in severe pneumonia: a propensity-score-matched study</t>
  </si>
  <si>
    <t>Critical Care</t>
  </si>
  <si>
    <t>Ceccato A. and Russo A. and Barbeta E. and Oscanoa P. and Tiseo G. and Gabarrus A. and Di Giannatale P. and Nogas S. and Cilloniz C. and Menichetti F. and Ferrer M. and Niederman M. and Falcone M. and Torres A.</t>
  </si>
  <si>
    <t>Factors affecting mortality in geriatric patients diagnosed with community-acquired pneumonia treated in intensive care units</t>
  </si>
  <si>
    <t>Turk Geriatri Dergisi</t>
  </si>
  <si>
    <t>Bozkurt Yilmaz H.E. and Unsal Z.E. and Habesoglu M.A. and Kara S. and Sen N.</t>
  </si>
  <si>
    <t>Usefulness of beta-lactam and macrolide combination therapy for treating community-acquired pneumonia patients hospitalized in the intensive care unit: Propensity score analysis of a prospective cohort study</t>
  </si>
  <si>
    <t>Journal of Infection and Chemotherapy</t>
  </si>
  <si>
    <t>Ito A. and Ishida T. and Tachibana H. and Nakanishi Y. and Tokioka F. and Yamazaki A. and Washio Y. and Irie H. and Otake T.</t>
  </si>
  <si>
    <t>Outcomes of Critically ill Very old patients with Acute Respiratory Distress Syndrome and Community-Acquired Pneumonia</t>
  </si>
  <si>
    <t>European Respiratory Journal</t>
  </si>
  <si>
    <t>Campos C.C. and Pericas J.M. and Peroni H. and Gabarrus A. and Barbeta E. and Palomeque A. and Ferrer M. and Torres A.</t>
  </si>
  <si>
    <t>Corticosteroids in severe pneumonia. A propensity score matching study based on real-life</t>
  </si>
  <si>
    <t>Ceccato A. and Russo A. and Barbeta E. and Oscanoa P. and Tiseo G. and Gabarrus A. and Di Giannatale P. and Nogas S. and Menichetti F. and Ferrer M. and Falcone M. and Torres A.</t>
  </si>
  <si>
    <t>Adding steroids in severe community-acquired pneumonia treatment: Does it make a difference?</t>
  </si>
  <si>
    <t>Wafy S. and Bayoumi H. and El-Naser S.</t>
  </si>
  <si>
    <t>Outcomes of severe H1N1 pneumoniae: A retrospective study at intensive care units</t>
  </si>
  <si>
    <t>Li S.-H. and Hsieh M.-J. and Lin S.-W. and Chuang L.-P. and Lee C.-S. and Chiu L.-C. and Chang C.-H. and Hu H.-C. and Huang C.-C. and Kao K.-C.</t>
  </si>
  <si>
    <t>Mortality and Prognostic Prediction in Very Elderly Patients With Severe Pneumonia</t>
  </si>
  <si>
    <t>Journal of Intensive Care Medicine</t>
  </si>
  <si>
    <t>Baek M.S. and Park S. and Choi J.-H. and Kim C.-H. and Hyun I.G.</t>
  </si>
  <si>
    <t>Neutrophil-to-lymphocyte ratio predicts mortality in adult renal transplant recipients with severe community-acquired pneumonia</t>
  </si>
  <si>
    <t>Pathogens</t>
  </si>
  <si>
    <t>Qiu Y. and Su Y. and Tu G.-W. and Ju M.-J. and He H.-Y. and Gu Z.-Y. and Yang C. and Luo Z.</t>
  </si>
  <si>
    <t>Marked Reduction in 28-day Mortality Among Elderly Patients with Severe Community-acquired Pneumonia: Post Hoc Analysis of a Large Randomized Controlled Trial.</t>
  </si>
  <si>
    <t>Clinical interventions in aging</t>
  </si>
  <si>
    <t>Liu, Yan and Zhang, Chi and Li, Chengyu and Bai, Chunxue and Shang, Hongcai</t>
  </si>
  <si>
    <t>Outcomes of severe human metapneumovirus-associated community-acquired pneumonia in adults.</t>
  </si>
  <si>
    <t>Journal of clinical virology : the official publication of the Pan American Society for Clinical Virology</t>
  </si>
  <si>
    <t>Choi, Sang-Ho and Hong, Sang-Bum and Huh, Jin Won and Jung, Jiwon and Kim, Min Jae and Chong, Yong Pil and Kim, Sung-Han and Sung, Heungsup and Koo, Hyun Jung and Do, Kyung-Hyun and Lee, Sang-Oh and Lim, Chae-Man and Kim, Yang Soo and Woo, Jun Hee and Koh, Younsuck</t>
  </si>
  <si>
    <t>Factors associated with mortality in severe community-acquired pneumonia: A multicenter cohort study.</t>
  </si>
  <si>
    <t>Espinoza, Rodolfo and Silva, Jose Roberto Lapa E and Bergmann, Anke and de Oliveira Melo, Ulisses and Calil, Flavio Elias and Santos, Robson Correa and Salluh, Jorge I F</t>
  </si>
  <si>
    <t>Improved survival rates in patients with H1N1 acute respiratory failure in Korea between 2009 and 2016</t>
  </si>
  <si>
    <t>PLoS ONE</t>
  </si>
  <si>
    <t>Choi H. and Ko U.W. and Lee H. and Hong S.-B. and Chung C.R.</t>
  </si>
  <si>
    <t>Impact of microbial Aetiology on mortality in severe community-acquired pneumonia.</t>
  </si>
  <si>
    <t>BMC infectious diseases</t>
  </si>
  <si>
    <t>Quah, Jessica and Jiang, Boran and Tan, Poh Choo and Siau, Chuin and Tan, Thean Yen</t>
  </si>
  <si>
    <t>Corticosteroid treatment in critically ill patients with severe influenza pneumonia: a propensity score matching study</t>
  </si>
  <si>
    <t>Intensive Care Medicine</t>
  </si>
  <si>
    <t>Moreno G. and Reyes L.F. and Gomez J. and Sole-Violan J. and Diaz E. and Bodi M. and Trefler S. and Guardiola J. and Soriano A. and Garnacho-Montero J. and Socias L. and Correig E. and Marin-Corral J. and Vallverdu-Vidal M. and Restrepo M.I. and Torres A. and Martin-Loeches I. and Cobo P. and Martins J. and Carbayo C. and Robles-Musso E. and Cardenas A. and Fierro J. and Fernandez D.O. and Sierra R. and Huertos M.J. and Perez M.L.C. and Laderas J.C.P. and Guerrero R. and Leon M.E. and Gomez A.B. and Marquez E. and Rodriguez-Carvajal M. and Estella A. and Pomares J. and Ballesteros J.L. and Romero O.M. and Fernandez Y. and Lobato F. and Prieto J.F. and Albofedo-Sanchez J. and Martinez P. and de la Torre M.V. and Sola E.C. and Castellanos M.A.D. and Soler G.S. and Leyba C.O. and Ribas A. and Hinojosa R. and Fernandez E. and Loza A. and Leon C. and Lopez S.G. and Arenzana A. and Ocana D. and Navarrete I. and Beryanaki M.Z. and Sanchez I. and Ale M.P. and Brea A.M.P. and Casas J.F.M. and Seron C. and Avellanas M.L. and Lander A. and de Arellano S.G.R. and Lacueva M.M. and Luque P. and Serrano E.P. and Lazaro J.F.M. and Polo C.S. and Cia I.G. and Bartolome B.J. and Nunez C.L. and Gonzalez I. and Marsilla J.I.T. and Andres C.J. and Ibanes P.G. and Aguilar P.A. and Monton J.M. and Regil P.D. and Iglesias L. and Gonzalez C.P. and Fernandez B.Q. and Iglesias L.M. and Soria L.V. and Escudero R.Y. and del Rosario Mtnez Revuelta M.. and Quiroga and Garcia-Rodriguez A. and Cuadrado M.M. and Marino A.L.B. and Luis R.G. and Ibanez P. and Borges-Sa M. and Socias A. and A D.C. and Marcos R.J. and Munoz C. and Bonell J.M. and Amestaran I. and Angeles Gonzalez Lopez M. and Pamies C.V. and Bonell Goytisolo J.M. and Carbonero J.A.M. and Senoff R.P. and de Medrano M.G.L. and Ruiz-Santana E. and Diaz J.J. and Ramirez C.S. and Sison M. and Hernandez D. and Trujillo A. and Regalado L. and Fndez S.R. and Lorente L. and Rivero J.C. and Quintero M.L.M. and Martin M. and Caceres J.J. and Palacio M.S. and Marcos X. and Garcia Rodriguez D. and Leria M.R. and Suberviola B. and Ugarte P. and Garcia-Lopez E. and Iniesta R.S. and Alonso A.A. and Padilla A. and Palacios B.M. and Grande M.L.G. and Carmen Martin Rodriguez M. and Alvarez H.A.-H. and Checa A.A. and Albaya A. and Obregon A.S. and Crespo C.M. and Estrella C.A. and Puncel C.B. and Oyargue E.Q. and Canabal A. and Marina L. and de Toro I.L. and Simon A. and Anon J.M. and Pueyo M.J.L. and del valle O.M. and Ferreras Z. and Herraez J.C.B. and Macias S. and Berezo J.A. and Varela J.B. and Schweizer P.B. and Salamanca A.G. and Lomas L.T. and Anzalez A.O. and Avila R.C. and PerezG F.J. and Terrero A.A. and Ezpeleta F.T. and Sala C. and Lopez O. and Paez Z. and Garcia A. and Ule D.C. and Crespo M.R. and Rebolledo J.P. and Andres N.H. and Zirena A.C.C. and Garcia B.R.</t>
  </si>
  <si>
    <t>Efficacy and safety of trimodulin, a novel polyclonal antibody preparation, in patients with severe community-acquired pneumonia: a randomized, placebo-controlled, double-blind, multicenter, phase II trial (CIGMA study)</t>
  </si>
  <si>
    <t>Welte T. and Dellinger R.P. and Ebelt H. and Ferrer M. and Opal S.M. and Singer M. and Vincent J.-L. and Werdan K. and Martin-Loeches I. and Almirall J. and Artigas A. and Ignacio Ayestaran J. and Nuding S. and Ferrer R. and Sirgo Rodriguez G. and Shankar-Hari M. and Alvarez-Lerma F. and Riessen R. and Sirvent J.-M. and Kluge S. and Zacharowski K. and Bonastre Mora J. and Lapp H. and Wobker G. and Achtzehn U. and Brealey D. and Kempa A. and Sanchez Garcia M. and Brederlau J. and Kochanek M. and Reschreiter H.P. and Wise M.P. and Belohradsky B.H. and Bobenhausen I. and Dalken B. and Dubovy P. and Langohr P. and Mayer M. and Schuttrumpf J. and Wartenberg-Demand A. and Wippermann U. and Wolf D. and Torres A.</t>
  </si>
  <si>
    <t>Host-pathogen interactions and prognosis of critically ill immunocompetent patients with pneumococcal pneumonia: the nationwide prospective observational STREPTOGENE study</t>
  </si>
  <si>
    <t>Bedos J.-P. and Varon E. and Porcher R. and Asfar P. and Le Tulzo Y. and Megarbane B. and Mathonnet A. and Dugard A. and Veinstein A. and Ouchenir K. and Siami S. and Reignier J. and Galbois A. and Cousson J. and Preau S. and Baldesi O. and Rigaud J.-P. and Souweine B. and Misset B. and Jacobs F. and Dewavrin F. and Mira J.-P.</t>
  </si>
  <si>
    <t>Acute respiratory distress syndrome in hospitalized patients with community-acquired pneumonia</t>
  </si>
  <si>
    <t>American Journal of Respiratory and Critical Care Medicine</t>
  </si>
  <si>
    <t>Barbeta E. and Monreal M.F. and Torres A.T. and Cilloniz C. and Ceccato A.</t>
  </si>
  <si>
    <t>The impact of general practitioners consultation on ARDS complicating community acquired pneumonia</t>
  </si>
  <si>
    <t>Ulysse D. and Jean-Marc T. and Adel M. and Pauline B. and Francois B. and Yves L.T. and Arnaud G.</t>
  </si>
  <si>
    <t>Treatment modalities and outcomes of patients with severe influenza a pneumonia: 2016 versus 2009</t>
  </si>
  <si>
    <t>Choi H. and Chung C. and Ko U. and Hong S.</t>
  </si>
  <si>
    <t>Is gentamicin safe and effective for severe community-acquired        pneumonia? An 8-year retrospective cohort study</t>
  </si>
  <si>
    <t>INTERNATIONAL JOURNAL OF ANTIMICROBIAL AGENTS</t>
  </si>
  <si>
    <t>Brereton, Christopher J. and Lennon, Daniel and Browning, Sarah and Dunn, Emily and Ferguson, John K. and Davis, Joshua S.</t>
  </si>
  <si>
    <t>Impact of antibiotic therapy in severe community-acquired pneumonia:        Data from the Infauci study</t>
  </si>
  <si>
    <t>JOURNAL OF CRITICAL CARE</t>
  </si>
  <si>
    <t>Pereira, J. M. and Goncalves-Pereira, J. and Ribeiro, O. and Baptista, J. P. and Froes, F. and Paiva, J. A.</t>
  </si>
  <si>
    <t>Risk factors and outcomes of severe influenza pneumonia with bacterial co-infection in critically ill patients</t>
  </si>
  <si>
    <t>Chen Y.-F. and Wu P.-F. and Yang C.-L. and Chien Y.-C. and Yu K.-L. and Chen C.-Y.</t>
  </si>
  <si>
    <t>Acute respiratory distress syndrome in patients with pneumococcal community-acquired pneumonia</t>
  </si>
  <si>
    <t>Cilloniz C.C. and Ceccato A.C. and Li Bassi G.L. and Ferrer M.F. and Gabarrus A.G. and Ranzani O.R. and San Jose A.S. and Garcia Vidal C.G. and Puig De La Bella Casa J.P. and Blasi F.B. and Torres A.T.</t>
  </si>
  <si>
    <t>Severe pneumonia due to legionella pneumophilia: Clinical characteristics and outcomes</t>
  </si>
  <si>
    <t>Marhbene T. and Sellami S. and Jamoussi A. and Ayed S. and Mhiri E. and Slim L. and Khelil J.B. and Besbes M.</t>
  </si>
  <si>
    <t>Improved survival among ICU-hospitalized patients with community-acquired pneumonia by unidentified organisms: a multicenter case-control study</t>
  </si>
  <si>
    <t>European Journal of Clinical Microbiology and Infectious Diseases</t>
  </si>
  <si>
    <t>Rello J. and Diaz E. and Manez R. and Sole-Violan J. and Valles J. and Vidaur L. and Zaragoza R. and Gattarello S. and Alvarez B. and Alvarez L. and Blanquer J. and Blasco M. and Borges-Sa M. and Bouza E. and Bunsow E. and Catalan M. and Garnacho J. and Koulenti D. and Lisboa T. and Lopez D. and Lopez-Pueyo M. and Lucena F. and Luque P. and Martin A. and Pereira J. and Jorda R. and Sebastian R. and Sierra R. and Suberviola B. and Torres A.</t>
  </si>
  <si>
    <t>Comorbidities impact on the prognosis of severe acute community-acquired pneumonia</t>
  </si>
  <si>
    <t>Porto Biomedical Journal</t>
  </si>
  <si>
    <t>Vidal A. and Santos L.</t>
  </si>
  <si>
    <t>Antimicrobial strategy for severe community-acquired legionnaires' disease: A multicentre retrospective observational study</t>
  </si>
  <si>
    <t>Journal of Antimicrobial Chemotherapy</t>
  </si>
  <si>
    <t>Cecchini J. and Tuffet S. and Sonneville R. and Fartoukh M. and Mayaux J. and Roux D. and Kouatchet A. and Boissier F. and Tchir M. and Thyrault M. and Maury E. and Jochmans S. and Dessap A.M. and Brun-Buisson C. and de Prost N.</t>
  </si>
  <si>
    <t>The Use of Polymerase Chain Reaction Amplification for the Detection of Viruses and Bacteria in Severe Community-Acquired Pneumonia.</t>
  </si>
  <si>
    <t>Respiration; international review of thoracic diseases</t>
  </si>
  <si>
    <t>Siow, Wen Ting and Koay, Evelyn Siew-Chuan and Lee, Chun Kiat and Lee, Hong Kai and Ong, Venetia and Ngerng, Wang Jee and Lim, Hui Fang and Tan, Adeline and Tang, Julian Wei-Tze and Phua, Jason</t>
  </si>
  <si>
    <t>Clinical presentations and outcome of severe community-acquired pneumonia</t>
  </si>
  <si>
    <t>Elshamly M. and Nour M.O. and Omar A.M.M.</t>
  </si>
  <si>
    <t>Evolution over a 15-year period of the clinical characteristics and        outcomes of critically ill patients with severe community-acquired        pneumonia</t>
  </si>
  <si>
    <t>MEDICINA INTENSIVA</t>
  </si>
  <si>
    <t>Valles, J. and Diaz, E. and Martin-Loeches, I. and Bacelar, N. and Saludes, P. and Lema, J. and Gallego, M. and Fontanals, D. and Artigas, A.</t>
  </si>
  <si>
    <t>Improvement of antibiotic therapy and ICU survival in severe non-pneumococcal community-acquired pneumonia: a matched case-control study.</t>
  </si>
  <si>
    <t>Critical care (London, England)</t>
  </si>
  <si>
    <t>Gattarello, Simone and Lagunes, Leonel and Vidaur, Loreto and Sole-Violan, Jordi and Zaragoza, Rafael and Valles, Jordi and Torres, Antoni and Sierra, Rafael and Sebastian, Rosa and Rello, Jordi</t>
  </si>
  <si>
    <t>Outcomes in patients with community-acquired pneumonia admitted to the intensive care unit.</t>
  </si>
  <si>
    <t>Cavallazzi, Rodrigo and Wiemken, Timothy and Arnold, Forest W and Luna, Carlos M and Bordon, Jose and Kelley, Robert and Feldman, Charles and Chalmers, James D and Torres, Antoni and Ramirez, Julio</t>
  </si>
  <si>
    <t>Clinical outcomes and microbiological characteristics of severe pneumonia in cancer patients: a prospective cohort study.</t>
  </si>
  <si>
    <t>PloS one</t>
  </si>
  <si>
    <t>Rabello, Ligia S C F and Silva, Jose R L and Azevedo, Luciano C P and Souza, Ivens and Torres, Viviane B L and Rosolem, Maira M and Lisboa, Thiago and Soares, Marcio and Salluh, Jorge I F</t>
  </si>
  <si>
    <t>Low C-reactive protein values at admission predict mortality in patients with severe community-acquired pneumonia caused by Streptococcus pneumoniae that require intensive care management.</t>
  </si>
  <si>
    <t>Infection</t>
  </si>
  <si>
    <t>Que, Yok-Ai and Virgini, Virginie and Lozeron, Elise Dupuis and Paratte, Geraldine and Prod'hom, Guy and Revelly, Jean-Pierre and Pagani, Jean-Luc and Charbonney, Emmanuel and Eggimann, Philippe</t>
  </si>
  <si>
    <t>The role of noninvasive positive pressure ventilation in community-acquired pneumonia</t>
  </si>
  <si>
    <t>Journal of Critical Care</t>
  </si>
  <si>
    <t>Murad A. and Li P.Z. and Dial S. and Shahin J.</t>
  </si>
  <si>
    <t>Predictors of mortality in patients admitted to an intensive care unit with viral pneumonia</t>
  </si>
  <si>
    <t>Baalachandran R. and Laroche D. and Ghazala L. and Carr G.E.</t>
  </si>
  <si>
    <t>Patients with community acquired pneumonia admitted to European intensive care units: An epidemiological survey of the GenOSept cohort</t>
  </si>
  <si>
    <t>Walden A.P. and Clarke G.M. and McKechnie S. and Hutton P. and Gordon A.C. and Rello J. and Chiche J.-D. and Stueber F. and Garrard C.S. and Hinds C.J.</t>
  </si>
  <si>
    <t>Evaluation of some new parameters predicting outcome of patients with acute respiratory failure needing invasive mechanical ventilation due to CAP</t>
  </si>
  <si>
    <t>El-Shafey B.I. and El-Bedewy M.M.</t>
  </si>
  <si>
    <t>Adjuvant treatment with a mammalian target of rapamycin inhibitor, sirolimus, and steroids improves outcomes in patients with severe H1N1 pneumonia and acute respiratory failure</t>
  </si>
  <si>
    <t>Wang C.-H. and Chung F.-T. and Lin S.-M. and Huang S.-Y. and Chou C.-L. and Lee K.-Y. and Lin T.-Y. and Kuo H.-P.</t>
  </si>
  <si>
    <t>Risks of nonsteroidal antiinflammatory drugs in undiagnosed intensive        care unit pneumococcal pneumonia: Younger and more severely affected        patients</t>
  </si>
  <si>
    <t>Messika, Jonathan and Sztrymf, Benjamin and Bertrand, Fabrice and Billard-Pomares, Typhaine and Barnaud, Guilene and Branger, Catherine and Dreyfuss, Didier and Ricard, Jean-Damien</t>
  </si>
  <si>
    <t>Community-acquired pneumonia in patients with chronic obstructive pulmonary disease requiring admission to the intensive care unit: risk factors for mortality.</t>
  </si>
  <si>
    <t>Cilli, Aykut and Erdem, Hakan and Karakurt, Zuhal and Turkan, Hulya and Yazicioglu-Mocin, Ozlem and Adiguzel, Nalan and Gungor, Gokay and Bilge, Ugur and Tasci, Canturk and Yilmaz, Gulden and Oncul, Oral and Dogan-Celik, Aygul and Erdemli, Ozcan and Oztoprak, Nefise and Samur, Anil Aktas and Tomak, Yakup and Inan, Asuman and Karaboga, Burcu and Tok, Demet and Temur, Sibel and Oksuz, Hafize and Senturk, Ozgur and Buyukkocak, Unase and Yilmaz-Karadag, Fatma and Ozcengiz, Dilek and Karakas, Ahmet and Savasci, Umit and Ozgen-Alpaydin, Aylin and Kilic, Erol and Elaldi, Nazif and Bilgic, Hayati</t>
  </si>
  <si>
    <t>Time to intubation is associated with outcome in patients with community-acquired pneumonia.</t>
  </si>
  <si>
    <t>Hraiech, Sami and Alingrin, Julie and Dizier, Stephanie and Brunet, Julie and Forel, Jean-Marie and La Scola, Bernard and Roch, Antoine and Papazian, Laurent and Pauly, Vanessa</t>
  </si>
  <si>
    <t>Mortality indicators in community-acquired pneumonia requiring intensive care in Turkey.</t>
  </si>
  <si>
    <t>International journal of infectious diseases : IJID : official publication of the International Society for Infectious Diseases</t>
  </si>
  <si>
    <t>Erdem, Hakan and Turkan, Hulya and Cilli, Aykut and Karakas, Ahmet and Karakurt, Zuhal and Bilge, Ugur and Yazicioglu-Mocin, Ozlem and Elaldi, Nazif and Adiguzel, Nalan and Gungor, Gokay and Tasci, Canturk and Yilmaz, Gulden and Oncul, Oral and Dogan-Celik, Aygul and Erdemli, Ozcan and Oztoprak, Nefise and Tomak, Yakup and Inan, Asuman and Karaboga, Burcu and Tok, Demet and Temur, Sibel and Oksuz, Hafize and Senturk, Ozgur and Buyukkocak, Unase and Yilmaz-Karadag, Fatma and Ozcengiz, Dilek and Turker, Turker and Afyon, Murat and Samur, Anil Aktas and Ulcay, Asim and Savasci, Umit and Diktas, Husrev and Ozgen-Alpaydin, Aylin and Kilic, Erol and Bilgic, Hayati and Leblebicioglu, Hakan and Unal, Serhat and Sonmez, Guner and Gorenek, Levent</t>
  </si>
  <si>
    <t>Improvement in process of care and outcome in patients requiring intensive care unit admission for community acquired pneumonia</t>
  </si>
  <si>
    <t>Georges H. and Journaux C. and Devos P. and Alfandari S. and Delannoy P.Y. and Meybeck A. and Chiche A. and Boussekey N. and Leroy O.</t>
  </si>
  <si>
    <t>Predictive factors of mortality in severe community-acquired pneumonia: A model with data on the first 24h of ICU admission</t>
  </si>
  <si>
    <t>Sirvent J.M. and Carmen de la Torre M. and Lorencio C. and Tache A. and Ferri C. and Garcia-Gil J. and Torres A.</t>
  </si>
  <si>
    <t>Early non-invasive ventilation treatment for severe influenza pneumonia</t>
  </si>
  <si>
    <t>Clinical Microbiology and Infection</t>
  </si>
  <si>
    <t>Perez M. and Cobo P. and Martins J. and Carbayo C. and Robles-Musso E. and Cardenas A. and Fierro J. and Fernandez D.O. and Sierra R. and Huertos M.J. and Pozo J.C. and Guerrero R. and Marquez E. and Rodriguez-Carvajal M. and Jareno A. and Estella A. and Pomares J. and Ballesteros J.L. and Fernandez Y. and Lobato F. and Prieto J.F. and Albofedo-Sanchez J. and Martinez P. and Castellanos M.A.D. and Sevilla G. and Garnacho-Montero J. and Hinojosa R. and Fernandez E. and Loza A. and Leon C. and Arenzana A. and Ocana D. and Navarrete I. and Beryanaki M.Z. and Sanchez I. and Avellanas M.L. and Lander A. and de Arellano S.G.R. and Marquina Lacueva M.I. and Luque P. and Gonzalez I. and Ma Monton J. and Regil P.D. and Iglesias L. and Gonzalez C.P. and Quiroga and Garcia-Rodriguez A. and Socias L. and Ibanez P. and Borges-Sa M. and Socias A. and Del Castillo A. and Marcos R.J. and Bonell J.M. and Amestaran I. and Ruiz-Santana S. and Diaz J.J. and Ferrer J. and Sole-Violan J. and Sison and Hernandez D. and Trujillo A. and Regalado L. and Lorente L. and Martin M. and Caceres J.J. and Suberviola B. and Ugarte P. and Garcia-Lopez F. and Alonso A.A. and Pasilla A. and Grande M.L.G. and Albaya A. and Canabal A. and Marina L. and Simon A. and Anon J.M. and Lopez Messa J.B. and Lopez Pueyo M.J. and Ferreras Z. and Macias S. and Berezo J.A. and Varela J.B. and Andaluz Ojeda A. and Terrero A.A. and Ezpeleta F.T. and Paez Z. and Garcia A. and Catalan R.M. and Ferrer M. and Torres A. and Barbadillo S. and Cabre L. and Rovira A. and Alvarez-Lerma F. and Vazquez A. and Nolla J. and Fernandez F. and Cervello J.R. and Manez R. and Ballus J. and Granada R.M. and Valles J. and Ortiz M. and Guia C. and Armestar F. and Paez J. and Almirall J. and Balanzo X. and Arnau E. and Laborda C. and Souto J. and Masclans J.R. and Llopart L. and Sanchez A. and Palomar M. and Catalan I. and Sirvent J.M. and Ferri C. and Lopez de Arbina N. and Badia M. and Valverdu-Vidal M. and Barcenilla F. and Magret M. and Esteban M.F. and Luna J. and Nava J.M. and de Molina J.G. and Josic Z. and Gurri F. and Diaz R.M. and Mesalles E. and Jose J.-N. and Fernandez-Zapata A. and Recio T. and Arrascaeta A. and Garcia-Ramos M.J. and Gallego E. and Bueno F. and Diaz M. and Cordero M.L. and Pastor J.A. and Alvarez-Rocha L. and Vila D. and Lamas A.D. and Perez J.B. and Piquer M.O. and Merayo E. and Lopez-Ciudad V.J. and Cortez J. and Vilaboy E. and Saborido E.M. and Gonzalez R.J. and Freita S. and Lo pez A.M. and Canabal J. and Ferres E. and Monzon J.L. and Goni F. and Saez F.D.D. and Navalpotro M.B. and Garcia-Torrejon M.C. and Perez-Calvo C. and Lopez D. and Arnaiz L. and Sanchez-Alonso S. and Velayos C. and del Rio F. and Gonzalez M.A. and Martin M.C. and Molina J.M. and Montejo J.C. and Catalan M. and Albert P. and de Pablo A. and Guerrero J.E. and Peyrat J.B. and Cerda E. and Alvarez M. and Pey C.</t>
  </si>
  <si>
    <t>Macrolide-based regimens in absence of bacterial co-infection in critically ill H1N1 patients with primary viral pneumonia</t>
  </si>
  <si>
    <t>Martin-Loeches I. and Bermejo-Marti J.F. and Granada R. and Vergara-Serra J.C. and Suarez D. and Artigas A. and Torres A. and Diaz E. and Cobo P. and Martins J. and Carbayo C. and Robles-Musso E. and Cardenas A. and Fierro J. and Fernandez D.O. and Sierra R. and Huertos M.J. and Pozo J.C. and Guerrero R. and Marquez E. and Rodriguez-Carvajal M. and Estella A. and Pomares J. and Ballesteros J.L. and Fernandez Y. and Lobato F. and Prieto J.F. and Albofedo-Sanchez J. and Martinez P. and de la Torre M.V. and Nieto M. and Diaz Castellanos M.A. and Sevilla G. and Garnacho-Montero J. and Hinojosa R. and Fernandez E. and Loza A. and Leon C. and Arenzana A. and Ocana D. and Navarrete I. and Beryanaki M.Z. and Sanchez I. and Avellanas M.L. and Lander A. and de Arellano S.G.R. and Lacueva M.I.M. and Luque P. and Serrano E.P. and Lazaro J.F.M. and Gonzalez I. and Monton J.M. and Regil P.D. and Iglesias L. and Gonzalez C.P. and Quiroga and Garcia-Rodriguez A. and Socias L. and Ibanez P. and Borges-Sa M. and Socias A. and Del Castillo A. and Marcos R.J. and Bonell J.M. and Amestaran I. and Ruiz-Santana S. and Diaz J.J. and Sison and Hernandez D. and Trujillo A. and Regalado L. and Lorente L. and Martin M. and Caceres J.J. and Suberviola B. and Ugarte P. and Garcia-Lopez F. and Alonso A.A. and Pasilla A. and Grande M.L.G. and Albaya A. and Canabal A. and Marina L. and Simon A. and Anon J.M. and Messa J.B.L. and Pueyo M.J.L. and Del Valle O.M. and Ferreras Z. and Macias S. and Berezo J.A. and Varela J.B. and Andaluz Ojeda A. and Terrero A.A. and Ezpeleta F.T. and Paez Z. and Garcia A. and Catalan R.M. and Ferrer M. and Cilloniz C. and Barbadillo S. and Cabre L. and Baeza I. and Rovira A. and Alvarez-Lerma F. and Vazquez A. and Nolla J. and Fernandez F. and Cervello J.R. and Iglesia R. and Manez R. and Ballus J. and Granada R.M. and Valles J. and Ortiz M. and Guia C. and Armestar F. and Paez J. and Almirall J. and Balanzo X. and Rello J. and Arnau E. and Perez M. and Laborda C. and Souto J. and Palomar M. and Catalan I. and Sirvent J.M. and Ferri C. and de Arbina N.L. and Badia M. and Valverdu-Vidal M. and Barcenilla F. and Magret M. and Esteban M.F. and Luna J. and Nava J.M. and de Molina J.G. and Josic Z. and Gurri F. and Rodriguez P. and Rodriguez A. and Lisboa T. and Pobo A. and Trefler S. and Diaz R.M. and Mesalles E. and de Mendoza D. and Jose J.-N. and Fernandez-Zapata A. and Recio T. and Arrascaeta A. and Garcia-Ramos M.J. and Gallego E. and Bueno F. and Diaz M. and Cordero M.L. and Pastor J.A. and Alvarez-Rocha L. and Vila D. and Diaz Lamas A. and Perez J.B. and Piquer M.O. and Merayo E. and Lopez-Ciudad V.J. and Canones J.C. and Vilaboy E. and Chao J.V. and Saborido E.M. and Gonzalez R.J. and Freita S. and Alemparte E. and Ortega A. and Lopez A.M. and Canabal J. and Ferres E. and Monzon J.L. and Goni F. and Saez F.N. and Navalpotro M.B.</t>
  </si>
  <si>
    <t>H1N1 influenza A virus related pneumonia and respiratory failure</t>
  </si>
  <si>
    <t>Indian Journal of Virology</t>
  </si>
  <si>
    <t>Okur M. and Erbey F. and Yazicioglu O. and Celik A. and Tukenmez B. and Sunnetcioglu M. and Gassaloglu M. and Acar M.N. and Kaya A.</t>
  </si>
  <si>
    <t>Severe community-acquired pneumonia treated with beta-lactam-respiratory quinolone vs. beta-lactam-macrolide combination</t>
  </si>
  <si>
    <t>Acta Anaesthesiologica Scandinavica</t>
  </si>
  <si>
    <t>Karhu J. and Ala-Kokko T.I. and Ohtonen P. and Syrjala H.</t>
  </si>
  <si>
    <t>Macrolide use in the treatment of critically ill patients with pneumonia: Incidence, correlates, timing and outcomes</t>
  </si>
  <si>
    <t>Canadian Journal of Infectious Diseases and Medical Microbiology</t>
  </si>
  <si>
    <t>Sligl W.I. and Hoang H. and Eurich D.T. and Malhotra A. and Marrie T.J. and Majumdar S.R.</t>
  </si>
  <si>
    <t>Initial use of one or two antibiotics for critically ill patients with community-acquired pneumonia: Impact on survival and bacterial resistance</t>
  </si>
  <si>
    <t>Adrie C. and Schwebel C. and Garrouste-Orgeas M. and Vignoud L. and Planquette B. and Azoulay E. and Kallel H. and Darmon M. and Souweine B. and Dinh-Xuan A.-T. and Jamali S. and Zahar J.-R. and Timsit J.-F.</t>
  </si>
  <si>
    <t>Community-acquired Legionella Pneumonia in the intensive care unit: Impact on survival of combined antibiotic therapy</t>
  </si>
  <si>
    <t>Rello J. and Gattarello S. and Souto J. and Sole-Violan J. and Peredo R. and Parra A. and Roig J. and Almirall J. and Alonso R. and Alvarez B. and Alvarez Lerma F. and Badia J.R. and Barcenilla F. and Bassetti M. and Blanquer J. and Blasco M.A. and Bobillo F. and Bodi M. and Borges M. and Bouza E. and Broch M.J. and Carrasco N. and Catalan M. and de la Torre V. and Diaz E. and Doblas A. and Fierro J. and Garcia F. and Garnacho J. and Herranz M.A. and Huertos M.J. and Jimenez J. and Jorda R. and Koulentis D. and Lopez D. and Lopez Cambra M.J. and Lopez Pueyo M.J. and Lores A. and Lucena F. and Luque P. and Maiez R. and Maravi E. and Margarit A. and Martin A. and Masdeu G. and Mendia A. and Mesalles E. and Pereira J. and Poulakou G. and Renedo F. and Ricard J.M. and Robles J.C. and Rocha L. and Sierra R. and Sirvent J.M. and Sole J. and Suberviola B. and Torres A. and Valles J. and Vidaur L. and Zaragoza R.</t>
  </si>
  <si>
    <t>The prognostic value of muscle regional saturation index (RSO2) in severe community-acquired pneumonia (CAP)</t>
  </si>
  <si>
    <t>Claverias L. and Marin-Corral J. and Magret M. and Trefler S. and Bodi M. and Pascual S. and Gea J. and Rodriguez A.</t>
  </si>
  <si>
    <t>Epidemiology and outcome of severe pneumococcal pneumonia admitted to intensive care unit: a multicenter study.</t>
  </si>
  <si>
    <t>Mongardon, Nicolas and Max, Adeline and Bougle, Adrien and Pene, Frederic and Lemiale, Virginie and Charpentier, Julien and Cariou, Alain and Chiche, Jean-Daniel and Bedos, Jean-Pierre and Mira, Jean-Paul</t>
  </si>
  <si>
    <t>Relationships among initial hospital triage, disease progression and mortality in community-acquired pneumonia.</t>
  </si>
  <si>
    <t>Respirology (Carlton, Vic.)</t>
  </si>
  <si>
    <t>Brown, Samuel M and Jones, Jason P and Aronsky, Dominik and Jones, Barbara E and Lanspa, Michael J and Dean, Nathan C</t>
  </si>
  <si>
    <t>Corticosteroid therapy in patients with primary viralpneumonia due to pandemic (H1N1) 2009influenza</t>
  </si>
  <si>
    <t>Journal of Infection</t>
  </si>
  <si>
    <t>Diaz E. and Martin-Loeches I. and Canadell L. and Vidaur L. and Suarez D. and Socias L. and Estella A. and Gil Rueda B. and Guerrero J.E. and Valverdu-Vidal M. and Vergara J.C. and Lopez-Pueyo M.J. and Magret M. and Recio T. and Lopez D. and Rello J. and Rodriguez A.</t>
  </si>
  <si>
    <t>Severity assessment tools in ICU patients with 2009 Influenza A (H1N1) pneumonia</t>
  </si>
  <si>
    <t>Pereira J.M. and Moreno R.P. and Matos R. and Rhodes A. and Martin-Loeches I. and Cecconi M. and Lisboa T. and Rello J.</t>
  </si>
  <si>
    <t>Severe pneumococcal community-acquired pneumonia admitted to medical Tunisian ICU</t>
  </si>
  <si>
    <t>Belkhouja K. and Romdhane K.B. and Ghariani A. and Hammami A. and M'Hiri E. and Slim-Saidi L. and Khelil J.B. and Besbes M.</t>
  </si>
  <si>
    <t>Prognostic value of proadrenomedullin in severe sepsis and septic shock patients with community-acquired pneumonia</t>
  </si>
  <si>
    <t>Swiss Medical Weekly</t>
  </si>
  <si>
    <t>Suberviola B. and Castellanos-Ortega A. and Llorca J. and Ortiz F. and Iglesias D. and Prieto B.</t>
  </si>
  <si>
    <t>Patterns of c-reactive protein RATIO response in severe        community-acquired pneumonia: a cohort study</t>
  </si>
  <si>
    <t>CRITICAL CARE</t>
  </si>
  <si>
    <t>Coelho, Luis M. and Salluh, Jorge I. F. and Soares, Marcio and Bozza, Fernando A. and Verdeal, Juan Carlos R. and Castro-Faria-Neto, Hugo C. and Lapa e Silva, Jose Roberto and Bozza, Patricia T. and Povoa, Pedro</t>
  </si>
  <si>
    <t>Is influenza A(H1N1) pneumonia more severe than other community-acquired pneumonias? Results of the GiViTI survey of 155 Italian ICUs.</t>
  </si>
  <si>
    <t>Intensive care medicine</t>
  </si>
  <si>
    <t>Bertolini, Guido and Rossi, Carlotta and Crespi, Daniele and Finazzi, Stefano and Morandotti, Marco and Rossi, Sandra and Peta, Mario and Langer, Martin and Poole, Daniele</t>
  </si>
  <si>
    <t>The impact of coagulation parameters on the outcomes of patients with severe community-acquired pneumonia requiring intensive care unit admission.</t>
  </si>
  <si>
    <t>Salluh, Jorge I F and Rabello, Ligia S C F and Rosolem, Maira M and Soares, Marcio and Bozza, Fernando A and Verdeal, Juan Carlos R and Mello, Gustavo W and Castro Faria Neto, Hugo C and Lapa E Silva, Jose Roberto and Bozza, Patricia T</t>
  </si>
  <si>
    <t>Impact of systemic corticosteroids on the clinical course and outcomes of patients with severe community-acquired pneumonia: a cohort study.</t>
  </si>
  <si>
    <t>Salluh, Jorge I F and Soares, Marcio and Coelho, Luis M and Bozza, Fernando A and Verdeal, Juan Carlos R and Castro-Faria-Neto, Hugo C and e Silva, Jose Roberto Lapa and Bozza, Patricia T and Povoa, Pedro</t>
  </si>
  <si>
    <t>Community-acquired polymicrobial pneumonia in the intensive care unit: Aetiology and prognosis</t>
  </si>
  <si>
    <t>Cilloniz C. and Ewig S. and Ferrer M. and Polverino E. and Gabarrus A. and Puig de la Bellacasa J. and Mensa J. and Torres A.</t>
  </si>
  <si>
    <t>Severe pneumococcal pneumonia: Impact of new quinolones on prognosis</t>
  </si>
  <si>
    <t>Olive D. and Georges H. and Devos P. and Boussekey N. and Chiche A. and Meybeck A. and Alfandari S. and Leroy O.</t>
  </si>
  <si>
    <t>Clinical and prognostic features of patients with pandemic 2009 influenza a (H1N1) virus in the intensive care unit</t>
  </si>
  <si>
    <t>African Health Sciences</t>
  </si>
  <si>
    <t>Sertogullarindan B. and Ozbay B. and Gunini H. and Sunnetcioglu A. and Arisoy A. and Bilgin H.M. and Mermit Cilingir B. and Duran M. and Yildiz H. and Ekin S. and Baran A.I.</t>
  </si>
  <si>
    <t>Early corticosteroids in severe influenza A/H1N1 pneumonia and acute respiratory distress syndrome</t>
  </si>
  <si>
    <t>Brun-Buisson C. and Richard J.-C.M. and Mercat A. and Thiebaut A.C.M. and Brochard L.</t>
  </si>
  <si>
    <t>Outcomes in ards due to H1N1 pneumonia in patients receiving airway pressure release ventilation</t>
  </si>
  <si>
    <t>Chest</t>
  </si>
  <si>
    <t>Grover V. and Gold J. and Hagg D. and Jacoby D. and Lakdawalla H. and Letourneau J. and Smith S.</t>
  </si>
  <si>
    <t>Prognostic factors of survival among adult patients admitted in the ICU due to severe H1N1pneumonia</t>
  </si>
  <si>
    <t>Boutou A. and Pitsiou G. and Kontou P. and Chatzika K. and Abatzidou F. and Stanopoulos I. and Kioumis I.</t>
  </si>
  <si>
    <t>Mechanical ventilation in critically ill patients with pandemic influenza A/H1N1 2009</t>
  </si>
  <si>
    <t>Oh D. and Kim S.-H. and Lim C.-M. and Koh Y. and Hong S.-B.</t>
  </si>
  <si>
    <t>Guideline-concordant antibiotic use and survival among patients with community-acquired pneumonia admitted to the intensive care unit.</t>
  </si>
  <si>
    <t>Clinical therapeutics</t>
  </si>
  <si>
    <t>Frei, Christopher R and Attridge, Russell T and Mortensen, Eric M and Restrepo, Marcos I and Yu, Yifan and Oramasionwu, Christine U and Ruiz, Jessica L and Burgess, David S</t>
  </si>
  <si>
    <t>Systemic and bronchoalveolar cytokines as predictors of in-hospital mortality in severe community-acquired pneumonia.</t>
  </si>
  <si>
    <t>Lee, Yao-Ling and Chen, Wei and Chen, Ling-Yun and Chen, Chia-Hung and Lin, Yu-Chao and Liang, Shinn-Jye and Shih, Chuen-Ming</t>
  </si>
  <si>
    <t>Influenza A (H1N1) virus pneumonia in intensive care unit</t>
  </si>
  <si>
    <t>Tuberkuloz ve Toraks</t>
  </si>
  <si>
    <t>Adiguzel N. and Karakurt Z. and Kalamanoglu Balci M. and Acarturk E. and Gungor G. and Yazicioglu Mocin O. and Bati Kutlu S. and Yilmaz A.</t>
  </si>
  <si>
    <t>H1N1 infection and the kidney in critically ill patients</t>
  </si>
  <si>
    <t>Journal of Nephrology</t>
  </si>
  <si>
    <t>Trimarchi H. and Greloni G. and Campolo-Girard V. and Giannasi S. and Pomeranz V. and San-Roman E. and Lombi F. and Barcan L. and Forrester M. and Algranati S. and Iriarte R. and Rosa-Diez G.</t>
  </si>
  <si>
    <t>Community-acquired pneumonia in an intensive care unit</t>
  </si>
  <si>
    <t>Revista Portuguesa de Pneumologia</t>
  </si>
  <si>
    <t>Marques M.R. and Nunes A. and Sousa C. and Moura F. and Gouveia J. and Ramos A.</t>
  </si>
  <si>
    <t>Combination antibiotic therapy with macrolides improves survival in intubated patients with community-acquired pneumonia</t>
  </si>
  <si>
    <t>Martin-Loeches I. and Lisboa T. and Rodriguez A. and Putensen C. and Annane D. and Garnacho-Montero J. and Restrepo M.I. and Rello J.</t>
  </si>
  <si>
    <t>Severe pneumonia during 2009 influenza a (H1N1) pandemic: 48 adult patients admitted to an ICU of Argentina</t>
  </si>
  <si>
    <t>Aguilar L. and Rios F. and Pezzola D. and Badolati A. and Villarejo F. and Cacace N. and Esteban M. and Videtta W. and Arias C. and Lloria M. and Bustamante M. and Maskin B. and Apezteguia C.</t>
  </si>
  <si>
    <t>Mortality in ICU patients with bacterial community-acquired pneumonia: When antibiotics are not enough</t>
  </si>
  <si>
    <t>Rodriguez A. and Lisboa T. and Blot S. and Martin-Loeches I. and Sole-Violan J. and De Mendoza D. and Rello J.</t>
  </si>
  <si>
    <t>Adrenal response in severe community-acquired pneumonia: impact on outcomes and disease severity.</t>
  </si>
  <si>
    <t>Salluh, Jorge I F and Bozza, Fernando A and Soares, Marcio and Verdeal, Juan Carlos R and Castro-Faria-Neto, Hugo C and Lapa E Silva, Jose Roberto and Bozza, Patricia T</t>
  </si>
  <si>
    <t>Outcomes and prognostic factors for severe community-acquired pneumonia that requires mechanical ventilation.</t>
  </si>
  <si>
    <t>The Korean journal of internal medicine</t>
  </si>
  <si>
    <t>Lee, Jin Hwa and Ryu, Yon Ju and Chun, Eun Mi and Chang, Jung Hyun</t>
  </si>
  <si>
    <t>Impact of thrombocytopenia on outcome of patients admitted to ICU for severe community-acquired pneumonia.</t>
  </si>
  <si>
    <t>The Journal of infection</t>
  </si>
  <si>
    <t>Brogly, Nicolas and Devos, Patrick and Boussekey, Nicolas and Georges, Hugues and Chiche, Arnaud and Leroy, Olivier</t>
  </si>
  <si>
    <t>Effects of delayed oxygenation assessment on time to antibiotic delivery and mortality in patients with severe community-acquired pneumonia</t>
  </si>
  <si>
    <t>Blot S.I. and Rodriguez A. and Sole-Violan J. and Blanquer J. and Almirall J. and Rello J.</t>
  </si>
  <si>
    <t>Combination antibiotic therapy improves survival in patients with        community-acquired pneumonia and shock</t>
  </si>
  <si>
    <t>CRITICAL CARE MEDICINE</t>
  </si>
  <si>
    <t>Rodriguez, Alejandro and Mendia, Angel and Sirvent, Josep-Maria and Barcenilla, Fernando and de la Torre-Prados, Maria Victoria and Sole-Violan, Jordi and Rello, Jordi and CAPUCI Study Grp</t>
  </si>
  <si>
    <t>Community-acquired pneumonia on the intensive care unit: secondary analysis of 17,869 cases in the ICNARC Case Mix Programme Database.</t>
  </si>
  <si>
    <t>Woodhead, Mark and Welch, Catherine A and Harrison, David A and Bellingan, Geoff and Ayres, Jon G</t>
  </si>
  <si>
    <t>Implications of COPD in patients admitted to the intensive care unit by community-acquired pneumonia</t>
  </si>
  <si>
    <t>Rello J. and Rodriguez A. and Torres A. and Roig J. and Sole-Violan J. and Garnacho-Montero J. and de la Torre M.V. and Sirvent J.M. and Bodi M. and Sole J. and Blanquer J. and Jimenez J. and de la Torre V. and Almirall J. and Doblas A. and Badia J.R. and Garcia F. and Mendia A. and Jorda R. and Bobillo F. and Valles J. and Broch M.J. and Carrasco N. and Herranz M.A. and Alvarez Lerma F. and Mesalles E. and Alvarez B. and Robles J.C. and Maravi E. and Barcenilla F. and Blasco M.A. and Masdeu G. and Lopez Pueyo M.J. and Margarit A. and Fierro J. and Renedo F. and Lores A. and Alonso R. and Huertos M.J. and Lopez Cambra M.J.</t>
  </si>
  <si>
    <t>Prognosis factors and outcome of community-acquired pneumonia needing mechanical ventilation</t>
  </si>
  <si>
    <t>Tejerina E. and Frutos-Vivar F. and Restrepo M.I. and Anzueto A. and Palizas F. and Gonzalez M. and Apezteguia C. and Abroug F. and Matamis D. and Bugedo G. and Esteban A.</t>
  </si>
  <si>
    <t>Diagnostic and prognostic values of admission procalcitonin levels in community-acquired pneumonia in an intensive care unit</t>
  </si>
  <si>
    <t>Boussekey N. and Leroy O. and Georges H. and Devos P. and D'Escrivan T. and Guery B.</t>
  </si>
  <si>
    <t>Outcome analysis of patients requiring mechanical ventilation with severe community-acquired pneumonia and identified bacterial pathogens</t>
  </si>
  <si>
    <t>Chang Gung Medical Journal</t>
  </si>
  <si>
    <t>Hu H.-C. and Huang C.-C. and Tsai Y.-H. and Lee C.-H. and Hsieh M.-J.</t>
  </si>
  <si>
    <t>Severe community-acquired pneumonia in an intensive care unit: Risk        factors for mortality</t>
  </si>
  <si>
    <t>INTERNAL MEDICINE</t>
  </si>
  <si>
    <t>Yoshimoto, A and Nakamura, H and Fujimura, M and Nakao, S</t>
  </si>
  <si>
    <t>Severe community-acquired pneumonia: Assessment of microbial aetiology as mortality factor</t>
  </si>
  <si>
    <t>Paganin F. and Lilienthal F. and Bourdin A. and Lugagne N. and Tixier F. and Genin R. and Yvin J.-L.</t>
  </si>
  <si>
    <t>Severe community-acquired pneumonia: Etiology, empiric antibiotic treatment and outcome</t>
  </si>
  <si>
    <t>Journal of Infectious Disease Pharmacotherapy</t>
  </si>
  <si>
    <t>Tomic V. and Igor D. and Franc S. and Darinka T.</t>
  </si>
  <si>
    <t>Microbiological testing and outcome of patients with severe community-acquired pneumonia</t>
  </si>
  <si>
    <t>Rello J. and Bodi M. and Mariscal D. and Navarro M. and Diaz E. and Gallego M. and Valles J.</t>
  </si>
  <si>
    <t>Severe pneumonia due to Legionella pneumophila: Prognostic factors, impact of delayed appropriate antimicrobial therapy</t>
  </si>
  <si>
    <t>Gacouin A. and Le Tulzo Y. and Lavoue S. and Camus C. and Hoff J. and Bassen R. and Arvieux C. and Heurtin C. and Thomas R.</t>
  </si>
  <si>
    <t>Severe community acquired pneumonia: a one-year analysis in a tertiary referral intensive care unit.</t>
  </si>
  <si>
    <t>The New Zealand medical journal</t>
  </si>
  <si>
    <t>Gowardman, J and Trent, L</t>
  </si>
  <si>
    <t>Assessment of prognosis in patients with community-acquired pneumonia who require mechanical ventilation.</t>
  </si>
  <si>
    <t>Pascual, F E and Matthay, M A and Bacchetti, P and Wachter, R M</t>
  </si>
  <si>
    <t>Comparison of two guideline-concordant antimicrobial combinations in elderly patients hospitalized with severe community-acquired pneumonia</t>
  </si>
  <si>
    <t>Wilson B.Z. and Anzueto A. and Restrepo M.I. and Pugh M.J.V. and Mortensen E.M.</t>
  </si>
  <si>
    <t>Severe community-acquired pneumonia: an Australian perspective.</t>
  </si>
  <si>
    <t>Wilson PA</t>
  </si>
  <si>
    <t>Current treatment for severe community-acquired pneumonia: Lessons from the N1H1 pademic</t>
  </si>
  <si>
    <t>Lluch Candal C. and Sanchez Gonzalez B. and Cabeza C. and Piacentini E. and Quintana S. and Ferrer Roca R.</t>
  </si>
  <si>
    <t>Mortality Predictors in Influenza Pneumonia: A Prospective Study in a Tertiary Care Hospital</t>
  </si>
  <si>
    <t>International Journal of Toxicological and Pharmacological Research</t>
  </si>
  <si>
    <t>Kassana B.A. and Hassan B. and Samoon N. and Aalmeen G.</t>
  </si>
  <si>
    <t>Prognostic value of the lactate/albumin ratio for predicting mortality in patients with pneumosepsis in intensive care units</t>
  </si>
  <si>
    <t>Medicine (United States)</t>
  </si>
  <si>
    <t>Erdogan M. and Findikli H.A.</t>
  </si>
  <si>
    <t>Comparative efficacy of two antimicrobial combinations in elderly patients hospitalized with severe pneumonia</t>
  </si>
  <si>
    <t>Journal of the American Geriatrics Society</t>
  </si>
  <si>
    <t>Wilson B.Z. and Nakashima B. and Restrepo M.I. and Anzueto A. and Mortensen E.M.</t>
  </si>
  <si>
    <t>H1N1 influenza A virus-associated acute lung injury: Response to combination oseltamivir and prolonged corticosteroid treatment</t>
  </si>
  <si>
    <t>Quispe-Laime A.M. and Bracco J.D. and Barberio P.A. and Campagne C.G. and Rolfo V.E. and Umberger R. and Meduri G.U.</t>
  </si>
  <si>
    <t>Early fiberoptic bronchoscopy during non-invasive ventilation in patients with decompensated chronic obstructive pulmonary disease due to community-acquired-pneumonia</t>
  </si>
  <si>
    <t>Scala R. and Naldi M. and Maccari U.</t>
  </si>
  <si>
    <t>The impact of a delay in intensive care unit admission for community-acquired pneumonia</t>
  </si>
  <si>
    <t>Phua J. and Ngerng W.J. and Lim T.K.</t>
  </si>
  <si>
    <t>PIRO score for community-acquired pneumonia: A new prediction rule for assessment of severity in intensive care unit patients with community-acquired pneumonia</t>
  </si>
  <si>
    <t>Rello J. and Rodriguez A. and Lisboa T. and Gallego M. and Lujan M. and Wunderink R.</t>
  </si>
  <si>
    <t>Association between timing of intensive care unit admission and outcomes for emergency department patients with community-acquired pneumonia</t>
  </si>
  <si>
    <t>Renaud B. and Santin A. and Coma E. and Camus N. and Van Pelt D. and Hayon J. and Gurgui M. and Roupie E. and Herve J. and Fine M.J. and Brun-Buisson C. and Labarere J.</t>
  </si>
  <si>
    <t>Effects of prone position on inflammatory markers in patients with ARDS due to community-acquired pneumonia</t>
  </si>
  <si>
    <t>Chan M.-C. and Hsu J.-Y. and Liu H.-H. and Lee Y.-L. and Pong S.-C. and Chang L.-Y. and Kuo B.I.-T. and Wu C.-L.</t>
  </si>
  <si>
    <t>Early non-invasive ventilation treatment for respiratory failure due to severe community-acquired pneumonia</t>
  </si>
  <si>
    <t>Clinical Respiratory Journal</t>
  </si>
  <si>
    <t>Nicolini A. and Ferraioli G. and Ferrari-Bravo M. and Barlascini C. and Santo M. and Ferrera L.</t>
  </si>
  <si>
    <t>Novel avian-origin influenza a (H7N9) in critically ill patients in China</t>
  </si>
  <si>
    <t>Yang Y. and Guo F. and Zhao W. and Gu Q. and Huang M. and Cao Q. and Shi Y. and Li J. and Chen J. and Yan J. and Jin Z. and Wang X. and Deng Y. and Sun L. and Cai H. and Huang J. and Zheng Y. and Li W. and Liu A. and Chen B. and Zhou M. and Qiu H. and Slutsky A.S.</t>
  </si>
  <si>
    <t>An investigation of the relationship between sPD-1, sPD-L1 and severe pneumonia patients admitted to ICU and its clinical significance</t>
  </si>
  <si>
    <t>Frontiers in Medicine</t>
  </si>
  <si>
    <t>Gao Z. and Lu Y. and Yu S. and Fu B.</t>
  </si>
  <si>
    <t>Comparison of Vancomycin vs Linezolid for Treating Adult Patients with sCAP Admitted to the ICU</t>
  </si>
  <si>
    <t>Open Forum Infectious Diseases</t>
  </si>
  <si>
    <t>Vinan Garces A.E. and Sanabria-Herrera N. and Duque-Vallejo S. and Garcia-Gallo E. and Reyes L.F.F.</t>
  </si>
  <si>
    <t>Effect of Metagenomic Next-Generation Sequencing on Clinical Outcomes of Patients With Severe Community-Acquired Pneumonia in the ICU: A Multicenter, Randomized Controlled Trial</t>
  </si>
  <si>
    <t>Wu X. and Sun T. and He H. and Xing L. and Cheng Z. and Geng S. and Xu D. and Luo H. and Chen C. and Jiang M. and Hou G. and Zhai T. and Cai Y. and Liu Y. and Li J. and Ni L. and Li X. and Qu B. and Lei C. and Wang Y. and Gu Z. and Zhang P. and Huang X. and Li M. and Xia J. and He L. and Zhan Q.</t>
  </si>
  <si>
    <t>The Predictive Values of Different Scoring Systems for Mortality of Older Patients with Community-Acquired Pneumonia Who Underwent Invasive Mechanical Ventilation</t>
  </si>
  <si>
    <t>International Journal of Gerontology</t>
  </si>
  <si>
    <t>Shi D.-C. and Jiang J.-M. and Li Y.-X. and Feng Q.-M. and Zhao G.</t>
  </si>
  <si>
    <t>A risk-adjusted length of stay to evaluate severe Community-Acquired Pneumonia (sCAP) outcomes: A machine learning analysis of 16,985 ICU admissions.</t>
  </si>
  <si>
    <t>Quintairos, Amanda and Dantas, Vicente Souza and Ferrari, Guilherme and Bastos, Leonardo and Peres, Igor Tona and Salluh, Jorge Ibrain Figueira</t>
  </si>
  <si>
    <t>Relationship Between the Prognostic Nutritional index and Short-Term Prognosis among Patients with Community-Acquired Bacterial Pneumonia: A Retrospective Analysis of the MIMIC-IV.</t>
  </si>
  <si>
    <t>Wu, Qingsong and Liao, Lianyi and Deng, Qingjun</t>
  </si>
  <si>
    <t>Impact of macrolide treatment on long-term mortality in patients admitted to the ICU due to CAP: a targeted maximum likelihood estimation and survival analysis.</t>
  </si>
  <si>
    <t>Reyes, Luis Felipe and Garcia, Esteban and Ibanez-Prada, Elsa D and Serrano-Mayorga, Cristian C and Fuentes, Yuli V and Rodriguez, Alejandro and Moreno, Gerard and Bastidas, Alirio and Gomez, Josep and Gonzalez, Angelica and Frei, Christopher R and Celi, Leo Anthony and Martin-Loeches, Ignacio and Waterer, Grant</t>
  </si>
  <si>
    <t>Evaluation of severity scoring systems in patients with severe community acquired pneumonia.</t>
  </si>
  <si>
    <t>Romanian journal of internal medicine = Revue roumaine de medecine interne</t>
  </si>
  <si>
    <t>Spasovska, Katerina and Grozdanovski, Krsto and Milenkovic, Zvonko and Bosilkovski, Mile and Cvetanovska, Marija and Kuzmanovski, Nikola and Kapsarov, Kosta and Atanasovska, Emilija</t>
  </si>
  <si>
    <t>Noninvasive ventilation in critically ill very old patients with pneumonia: A multicenter retrospective cohort study.</t>
  </si>
  <si>
    <t>Besen, Bruno A M P and Park, Marcelo and Ranzani, Otavio T</t>
  </si>
  <si>
    <t>Improving care for critically ill patients with community-acquired pneumonia.</t>
  </si>
  <si>
    <t>American journal of health-system pharmacy : AJHP : official journal of the American Society of Health-System Pharmacists</t>
  </si>
  <si>
    <t>Bianchini, Monica L and Mercuro, Nicholas J and Kenney, Rachel M and Peters, Michael A and Samuel, Linoj P and Swiderek, Jennifer and Davis, Susan L</t>
  </si>
  <si>
    <t>A new prediction model for assessing the clinical outcomes of ICU patients with community-acquired pneumonia: a decision tree analysis.</t>
  </si>
  <si>
    <t>Annals of medicine</t>
  </si>
  <si>
    <t>Zhang, Shufang and Zhang, Kai and Yu, Yang and Tian, Baoping and Cui, Wei and Zhang, Gensheng</t>
  </si>
  <si>
    <t>Early Rehabilitation and In-Hospital Mortality in Intensive Care Patients With Community-Acquired Pneumonia.</t>
  </si>
  <si>
    <t>American journal of critical care : an official publication, American Association of Critical-Care Nurses</t>
  </si>
  <si>
    <t>Sawada, Yusuke and Sasabuchi, Yusuke and Nakahara, Yasuo and Matsui, Hiroki and Fushimi, Kiyohide and Haga, Nobuhiko and Yasunaga, Hideo</t>
  </si>
  <si>
    <t>A new method to predict hospital mortality in severe community acquired pneumonia.</t>
  </si>
  <si>
    <t>Wang, Xin and Jiao, Jianlong and Wei, Rongwei and Feng, Yongli and Ma, Xiuqin and Li, Yuan and Du, Yue</t>
  </si>
  <si>
    <t>Plasma kallistatin levels in patients with severe community-acquired pneumonia.</t>
  </si>
  <si>
    <t>Lin, Wei-Chieh and Lu, Shiou-Ling and Lin, Chiou-Feng and Chen, Chang-Wen and Chao, Lee and Chao, Julie and Lin, Yee-Shin</t>
  </si>
  <si>
    <t>Empiric therapy directed against MRSA in patients admitted to the intensive care unit does not improve outcomes in community-acquired pneumonia.</t>
  </si>
  <si>
    <t>Griffin, A T and Peyrani, P and Wiemken, T L and Ramirez, J A and Arnold, F W</t>
  </si>
  <si>
    <t>Mortality prediction in community-acquired pneumonia requiring mechanical ventilation; values of pneumonia and intensive care unit severity scores.</t>
  </si>
  <si>
    <t>Tuberkuloz ve toraks</t>
  </si>
  <si>
    <t>Aydogdu, Muge and Ozyilmaz, Ezgi and Aksoy, Handan and Gursel, Gul and Ekim, Numan</t>
  </si>
  <si>
    <t>Late admission to the ICU in patients with community-acquired pneumonia is associated with higher mortality.</t>
  </si>
  <si>
    <t>Restrepo, Marcos I and Mortensen, Eric M and Rello, Jordi and Brody, Jennifer and Anzueto, Antonio</t>
  </si>
  <si>
    <t>Distinctive features between community-acquired pneumonia (CAP) due to Chlamydophila psittaci and CAP due to Legionella pneumophila admitted to the intensive care unit (ICU)</t>
  </si>
  <si>
    <t>Gacouin A. and Revest M. and Letheulle J. and Fillatre P. and Jouneau S. and Piau C. and Uhel F. and Tattevin P. and Le Tulzo Y.</t>
  </si>
  <si>
    <t>Antibiotic strategy in severe community-acquired pneumococcal pneumonia</t>
  </si>
  <si>
    <t>Medecine et Maladies Infectieuses</t>
  </si>
  <si>
    <t>Le Bris-Tomczak A. and Bedos J.-P. and Billon C. and Samdjee F. and Le Monnier A.</t>
  </si>
  <si>
    <t>Severe community acquired pneumonia in Mumbai, India: Etiology and predictive value of the modified british thoracic society rule</t>
  </si>
  <si>
    <t>Dagaonkar R.S. and Udwadia Z.F. and Sen T. and Nene A. and Joshi J. and Rastogi S.A. and Shah K. and Shah H. and Pandey K.</t>
  </si>
  <si>
    <t>Acute kidney injury in critically ill patients with 2009 influenza A (H1N1) viral pneumonia: An observational study</t>
  </si>
  <si>
    <t>Nin N. and Lorente J.A. and Soto L. and Rios F. and Hurtado J. and Arancibia F. and Ugarte S. and Echevarria E. and Cardinal P. and Saldarini F. and Bagnulo H. and Cortes I. and Bujedo G. and Ortega C. and Frutos F. and Esteban A.</t>
  </si>
  <si>
    <t>Delay between ICU admission of patients with severe community-acquired pneumonia and prognosis at discharge</t>
  </si>
  <si>
    <t>Intensive Care Medicine Experimental</t>
  </si>
  <si>
    <t>Altaba Tena S. and Camanez Fortanet J. and Gonzalez Nunez A.B. and Viana Marco C. and Rodriguez Portillo J.H.</t>
  </si>
  <si>
    <t>Hydrocortisone in Severe Community-Acquired Pneumonia</t>
  </si>
  <si>
    <t>NEW ENGLAND JOURNAL OF MEDICINE</t>
  </si>
  <si>
    <t>Dequin, Pierre-Francois and Meziani, Ferhat and Quenot, Jean-Pierre and Kamel, T. and Ricard, Jean-Damien and Badie, Julio and Reignier, Jean and Heming, Nicholas and Plantefeve, Gaetan and Souweine, Bertrand and Voiriot, Guillaume and Colin, Gwenhael and Frat, Jean-Pierre and Mira, Jean-Paul and Barbarot, Nicolas and Francois, Bruno and Louis, Guillaume and Gibot, Sebastien and Guitton, Christophe and Giacardi, Christophe and Hraiech, Sami and Vimeux, Sylvie and L'Her, Erwan and Faure, Henri and Herbrecht, Jean-Etienne and Bouisse, Camille and Joret, Aurelie and Terzi, Nicolas and Gacouin, Arnaud and Quentin, Charlotte and Jourdain, Merce and Leclerc, Marie and Coffre, Carine and Bourgoin, Helene and Lengelle, Celine and Caille-Fenerol, Caroline and Giraudeau, Bruno and Le Gouge, Amelie and CRICS TriGGERSep Network</t>
  </si>
  <si>
    <t>Can we predict pneumococcal bacteremia in patients with severe        community-acquired pneumonia?</t>
  </si>
  <si>
    <t>Pereira, Jose Manuel and Teixeira-Pinto, Armando and Basilio, Carla and Sousa-Dias, Conceiao and Mergulhao, Paulo and Paiva, Jose Artur</t>
  </si>
  <si>
    <t>Predictors of failure of noninvasive ventilation in patients with severe community-acquired pneumonia</t>
  </si>
  <si>
    <t>Carron M. and Freo U. and Zorzi M. and Ori C.</t>
  </si>
  <si>
    <t>Antibiotic prescription for community-acquired pneumonia in the intensive care unit: Impact of adherence to Infectious Diseases Society of America guidelines on survival</t>
  </si>
  <si>
    <t>Clinical Infectious Diseases</t>
  </si>
  <si>
    <t>Bodi M. and Rodriguez A. and Sole-Violan J. and Gilavert M.C. and Garnacho J. and Blanquer J. and Jimenez J. and De La Torre M.V. and Sirvent J.M. and Almirall J. and Doblas A. and Badia J.R. and Garcia F. and Mendia A. and Jorda R. and Bobillo F. and Valles J. and Broch M.J. and Carrasco N. and Herranz M.A. and Rello J.</t>
  </si>
  <si>
    <t>Acute respiratory distress syndrome in patients with severe pneumococcal pneumonia</t>
  </si>
  <si>
    <t>Ceccato A. and Cilloniz C. and Ferrer M. and Gabarrus A. and Li Bassi G. and Ranzani O. and Garcia Vidal C. and Puig De La Bellacasa J. and Torres A.</t>
  </si>
  <si>
    <t>Myocardial injury in critically ill patients with community-acquired pneumonia</t>
  </si>
  <si>
    <t>Frencken J.F. and Van Baal L. and Peelen L.M. and Donker D.W. and Horn J. and Van Der Poll T. and Van Klei W.A. and Bonten M.J.M. and Cremer O.L.</t>
  </si>
  <si>
    <t>Decrease in Mortality in severe community-acquired pneumococcal pneumonia: Impact of improving antibiotic strategies (2000-2013)</t>
  </si>
  <si>
    <t>Gattarello S. and Borgatta B. and Sole-Violan J. and Valles J. and Vidaur L. and Zaragoza R. and Torres A. and Rello J.</t>
  </si>
  <si>
    <t>Oxidative stress in immunocompetent patients with severe community-acquired pneumonia. A pilot study</t>
  </si>
  <si>
    <t>Trefler S. and Rodriguez A. and Martin-Loeches I. and Sanchez V. and Marin J. and Llaurado M. and Romeu M. and Diaz E. and Nogues R. and Giralt M.</t>
  </si>
  <si>
    <t>Diagnostic accuracy of activities of daily living in prediction of community-acquired pneumonia outcomes in elderly patients admitted to intensive care units</t>
  </si>
  <si>
    <t>Journal of Clinical Gerontology and Geriatrics</t>
  </si>
  <si>
    <t>Abd-El-Gawad W.M. and Adly N.N. and Salem H.M.</t>
  </si>
  <si>
    <t>IgM levels in plasma predict outcome in severe pandemic influenza</t>
  </si>
  <si>
    <t>Journal of Clinical Virology</t>
  </si>
  <si>
    <t>Justel M. and Socias L. and Almansa R. and Ramirez P. and Gallegos M.C. and Fernandez V. and Gordon M. and Andaluz-Ojeda D. and Nogales L. and Rojo S. and Valles J. and Estella A. and Loza A. and Leon C. and Lopez-Mestanza C. and Blanco J. and Berezo J.T. and Rosich S. and Cilloniz C. and Torres A. and de Lejarazu R.O. and Martin-Loeches I. and Bermejo-Martin J.F.</t>
  </si>
  <si>
    <t>Severe CAP: Can the CURB65 score and PT discriminate between ICU survivors and non-survivors?</t>
  </si>
  <si>
    <t>Jose R. and Omar M. and Goldring J. and Chambers R. and Brown J. and Agarwal B.</t>
  </si>
  <si>
    <t>Predictors of non-invasive ventilation failure in adult patients with cardiac dysfunction presenting with community-acquired pneumonia: an Egyptian multicenter prospective study</t>
  </si>
  <si>
    <t>Signa Vitae</t>
  </si>
  <si>
    <t>Laimoud M. and Abdel-Moaty M. and Elshobary M. and Mohamed T. and Ahmed W.</t>
  </si>
  <si>
    <t>Analysis of clinical characteristics and prognostic factors of ARDS caused by community-acquired pneumonia in people with different immune status</t>
  </si>
  <si>
    <t>Expert Review of Anti-Infective Therapy</t>
  </si>
  <si>
    <t>Cheng Z. and Zhu Q. and Chen J. and Sun Y. and Liang Z.</t>
  </si>
  <si>
    <t>Blood leukocyte transcriptomes in Gram-positive and Gram-negative community-acquired pneumonia</t>
  </si>
  <si>
    <t>Pereverzeva L. and Uhel F. and Sengers H.P. and Butler J. and van Vught L.A. and Burnham K.L. and Davenport E.E. and Knight J.C. and Cremer O.L. and Schultz M.J. and Bonten M.M.J. and Scicluna B.P. and van der Poll T.</t>
  </si>
  <si>
    <t>Factors affecting cost of patients with severe community-acquired pneumonia in intensive care unit</t>
  </si>
  <si>
    <t>Turkish Thoracic Journal</t>
  </si>
  <si>
    <t>Gumus A. and Cilli A. and Cakin O. and Karakurt Z. and Ergan B. and Aksoy E. and Cengiz M.</t>
  </si>
  <si>
    <t>Pharmacy-driven initiative improves care for severe community-acquired pneumonia</t>
  </si>
  <si>
    <t>Bianchini M. and Mercuro N. and Kenney R. and Peters M. and Swiderek J. and Samuel L. and Davis S.</t>
  </si>
  <si>
    <t>Biomarker concordant steroid use in critically ill patients with pneumonia</t>
  </si>
  <si>
    <t>Odeyemi Y. and Herasevich S. and Schwegman A. and Barreto E. and Gajic O. and Yadav H.</t>
  </si>
  <si>
    <t>Acute respiratory distress syndrome in mechanically ventilated patients with community-acquired pneumonia</t>
  </si>
  <si>
    <t>Cilloniz C. and Ferrer M. and Liapikou A. and Garcia-Vidal C. and Gabarrus A. and Ceccato A. and De La Bellacasa J.P. and Blasi F. and Torres A.</t>
  </si>
  <si>
    <t>Predictors of survival in patients with influenza pneumonia-related severe acute respiratory distress syndrome treated with prone positioning</t>
  </si>
  <si>
    <t>Kao K.-C. and Chang K.-W. and Chan M.-C. and Liang S.-J. and Chien Y.-C. and Hu H.-C. and Chiu L.-C. and Chen W.-C. and Fang W.-F. and Chen Y.-M. and Sheu C.-C. and Tsai M.-J. and Perng W.-C. and Peng C.-K. and Wu C.-L. and Wang H.-C. and Yang K.-Y.</t>
  </si>
  <si>
    <t>Combined vitamin C, hydrocortisone, and thiamine therapy for patients with severe pneumonia who were admitted to the intensive care unit: Propensity score-based analysis of a before-after cohort study</t>
  </si>
  <si>
    <t>Kim W.-Y. and Jo E.-J. and Eom J.S. and Mok J. and Kim M.-H. and Kim K.U. and Park H.-K. and Lee M.K. and Lee K.</t>
  </si>
  <si>
    <t>Epidemiology and microbiology of severe community-acquired pneumonia in        Central Australia: a retrospective study</t>
  </si>
  <si>
    <t>INTERNAL MEDICINE JOURNAL</t>
  </si>
  <si>
    <t>Tsai, Danny and Chiong, Fabian and Secombe, Paul and Hnin, Khin Moe and Stewart, Penny and Goud, Rajendra and Woodman, Richard and Lipman, Jeffrey and Roberts, Jason and Hewagama, Saliya</t>
  </si>
  <si>
    <t>Outcomes of Macrolide Deescalation in Severe Community-acquired        Pneumonia</t>
  </si>
  <si>
    <t>CLINICAL THERAPEUTICS</t>
  </si>
  <si>
    <t>Hopkins, Tiffany M. and Juang, Paul and Weaver, Katherine and Kollef, Marin H. and Betthauser, Kevin D.</t>
  </si>
  <si>
    <t>Clinical characteristics and risk factors associated with mortality in        patients with severe community-acquired pneumonia and type 2 diabetes        mellitus</t>
  </si>
  <si>
    <t>Huang, Dong and He, Dingxiu and Gong, Linjing and Wang, Wen and Yang, Lei and Zhang, Zhongwei and Shi, Yujun and Liang, Zongan</t>
  </si>
  <si>
    <t>Five-year mortality in patients treated for severe community-acquired        pneumonia - a retrospective study</t>
  </si>
  <si>
    <t>ACTA ANAESTHESIOLOGICA SCANDINAVICA</t>
  </si>
  <si>
    <t>Lenz, H. and Norby, G. O. and Dahl, V. and Ranheim, T. E. and Haagensen, R. E.</t>
  </si>
  <si>
    <t>Severe community-acquired pneumonia due to &lt;i&gt;Streptococcus pyogenes&lt;/i&gt;        in the Newcastle area</t>
  </si>
  <si>
    <t>COMMUNICABLE DISEASES INTELLIGENCE</t>
  </si>
  <si>
    <t>Wilson, Paul A. and Varadhan, Hemalatha</t>
  </si>
  <si>
    <t>Impact of Lymphocyte and Neutrophil Counts on Mortality Risk in Severe        Community-Acquired Pneumonia with or without Septic Shock</t>
  </si>
  <si>
    <t>JOURNAL OF CLINICAL MEDICINE</t>
  </si>
  <si>
    <t>Guell, Estel and Martin-Fernandez, Marta and De la Torre, Mali C. and Palomera, Elisabet and Serra, Mateu and Martinez, Rafael and Solsona, Manel and Miro, Gloria and Valles, Jordi and Fernandez, Samuel and Cortes, Edgar and Ferrer, Vanessa and Morales, Marc and Yebenes, Juan C. and Almirall, Jordi and Bermejo-Martin, Jesus E.</t>
  </si>
  <si>
    <t>Severe community-acquired pneumonia in intensive care</t>
  </si>
  <si>
    <t>EPIDEMIOLOGIE MIKROBIOLOGIE IMUNOLOGIE</t>
  </si>
  <si>
    <t>Bartos, H. and Dzupova, O.</t>
  </si>
  <si>
    <t>Renal replacement therapy in patients with influenza pneumonia related acute respiratory distress syndrome</t>
  </si>
  <si>
    <t>Chang K.-W. and Leu S.-W. and Lin S.-W. and Liang S.-J. and Yang K.-Y. and Chan M.-C. and Chen W.-C. and Hu H.-C. and Fang W.-F. and Chen Y.-M. and Sheu C.-C. and Tsai M.-J. and Wang H.-C. and Chien Y.-C. and Peng C.-K. and Wu C.-L. and Kao K.-C.</t>
  </si>
  <si>
    <t>Prophylactic anticoagulant therapy is associated with improved survival in ICU patients with non-COVID-19 pneumonia: a retrospective cohort study</t>
  </si>
  <si>
    <t>Frontiers in Pharmacology</t>
  </si>
  <si>
    <t>Haiming Hu, Yixing Zhu, Ruikang Hu, Lijuan Zhao, Xiangwen Zeng, Xue Wu, Rui Qiu, Yihao Nie, Lokesh Sharma, De Chang</t>
  </si>
  <si>
    <t>Association between prognostic nutritional index and mortality risk in patients with community-acquired pneumonia: a retrospective study</t>
  </si>
  <si>
    <t>BMC Pulmonary Medicine</t>
  </si>
  <si>
    <t>Wang G. and Wang N. and Liu T. and Ji W. and Sun J. and Lv L. and Yu X. and Cheng X. and Li M. and Hu T. and Shi Z.</t>
  </si>
  <si>
    <t>Aspirin reduces the mortality risk of patients with community-acquired pneumonia: a retrospective propensity-matched analysis of the MIMIC-IV database</t>
  </si>
  <si>
    <t>Wang G. and Sun J. and Zhang Y. and Wang N. and Liu T. and Ji W. and Lv L. and Yu X. and Cheng X. and Li M. and Hu T. and Shi Z.</t>
  </si>
  <si>
    <t>Macrolide treatment reduces one-year mortality in patients admitted to the ICU due to cap: A secondary analysis of the mimic-ii database</t>
  </si>
  <si>
    <t>Reyes L.F. and Garcia E. and Bastidas A.R. and Ortiz S. and Rodriguez A.</t>
  </si>
  <si>
    <t>ICU mortality</t>
  </si>
  <si>
    <t>28d mortality</t>
  </si>
  <si>
    <t>30d mortality</t>
  </si>
  <si>
    <t xml:space="preserve">60d mortality </t>
  </si>
  <si>
    <t>90d mortality</t>
  </si>
  <si>
    <t>Hospital mortality</t>
  </si>
  <si>
    <t>ICU length of stay</t>
  </si>
  <si>
    <t>Hospital length of stay</t>
  </si>
  <si>
    <t>Survival to hospital discharge</t>
  </si>
  <si>
    <t>number of patients</t>
  </si>
  <si>
    <t>3.7d (med)</t>
  </si>
  <si>
    <t>8.7d (med)</t>
  </si>
  <si>
    <t>9d (med)</t>
  </si>
  <si>
    <t>9.2 ± 11d</t>
  </si>
  <si>
    <t>13d (med)</t>
  </si>
  <si>
    <t>21d (med)</t>
  </si>
  <si>
    <t>KEY</t>
  </si>
  <si>
    <t>RCTs</t>
  </si>
  <si>
    <t>Exclude</t>
  </si>
  <si>
    <t>Unable to access</t>
  </si>
  <si>
    <t>can't isolate overall mortality data as have given diff viruses and some pts had multiple viruses. Also inclusion is 16 and over not 18</t>
  </si>
  <si>
    <t>ICU mortality (no of pts)</t>
  </si>
  <si>
    <t>conference abstract</t>
  </si>
  <si>
    <t>?abstract</t>
  </si>
  <si>
    <t>6 month mortality</t>
  </si>
  <si>
    <t>includes &lt;18y including babies</t>
  </si>
  <si>
    <t>includes &lt;18y inc 15yo</t>
  </si>
  <si>
    <t>conference abstract, exclude</t>
  </si>
  <si>
    <t>??1998 data collected</t>
  </si>
  <si>
    <t>5 year mortality?!</t>
  </si>
  <si>
    <t>7d is 13.6%</t>
  </si>
  <si>
    <t>not observtionally measuring mortality</t>
  </si>
  <si>
    <t>wtf these are diff titles to what mo has put on his spreadsheet idk iDK</t>
  </si>
  <si>
    <t>no mortailty data</t>
  </si>
  <si>
    <t>cannot find anywhereee</t>
  </si>
  <si>
    <t xml:space="preserve">can't access. Also CAPUCI </t>
  </si>
  <si>
    <t>abstract</t>
  </si>
  <si>
    <t>duplicate of 143, exclude</t>
  </si>
  <si>
    <t>missing data</t>
  </si>
  <si>
    <t>doesn't specify CAP</t>
  </si>
  <si>
    <t>cannot find</t>
  </si>
  <si>
    <t>RCT</t>
  </si>
  <si>
    <t>Cannot access</t>
  </si>
  <si>
    <t>Sus have another look at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</si>
</sst>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8">
    <fill>
      <patternFill patternType="none"/>
    </fill>
    <fill>
      <patternFill patternType="gray125"/>
    </fill>
    <fill>
      <patternFill patternType="solid">
        <fgColor theme="7" tint="0.79995117038483843"/>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tint="-0.499984740745262"/>
        <bgColor indexed="64"/>
      </patternFill>
    </fill>
    <fill>
      <patternFill patternType="solid">
        <fgColor theme="2"/>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22">
    <xf numFmtId="0" fontId="0" fillId="0" borderId="0" xfId="0"/>
    <xf numFmtId="0" fontId="0" fillId="3" borderId="0" xfId="0" applyFill="1"/>
    <xf numFmtId="49" fontId="0" fillId="3" borderId="0" xfId="0" applyNumberFormat="1" applyFill="1"/>
    <xf numFmtId="49" fontId="0" fillId="0" borderId="0" xfId="0" applyNumberFormat="1"/>
    <xf numFmtId="2" fontId="0" fillId="0" borderId="0" xfId="0" applyNumberFormat="1"/>
    <xf numFmtId="2" fontId="0" fillId="3" borderId="0" xfId="0" applyNumberFormat="1" applyFill="1"/>
    <xf numFmtId="10" fontId="0" fillId="0" borderId="0" xfId="0" applyNumberFormat="1"/>
    <xf numFmtId="12" fontId="0" fillId="0" borderId="0" xfId="0" applyNumberFormat="1"/>
    <xf numFmtId="12" fontId="0" fillId="3" borderId="0" xfId="0" applyNumberFormat="1" applyFill="1"/>
    <xf numFmtId="0" fontId="0" fillId="2" borderId="0" xfId="0" applyFill="1"/>
    <xf numFmtId="0" fontId="0" fillId="4" borderId="0" xfId="0" applyFill="1"/>
    <xf numFmtId="2" fontId="0" fillId="4" borderId="0" xfId="0" applyNumberFormat="1" applyFill="1"/>
    <xf numFmtId="12" fontId="0" fillId="4" borderId="0" xfId="0" applyNumberFormat="1" applyFill="1"/>
    <xf numFmtId="10" fontId="0" fillId="3" borderId="0" xfId="0" applyNumberFormat="1" applyFill="1"/>
    <xf numFmtId="0" fontId="0" fillId="5" borderId="0" xfId="0" applyFill="1"/>
    <xf numFmtId="2" fontId="0" fillId="5" borderId="0" xfId="0" applyNumberFormat="1" applyFill="1"/>
    <xf numFmtId="12" fontId="0" fillId="5" borderId="0" xfId="0" applyNumberFormat="1" applyFill="1"/>
    <xf numFmtId="10" fontId="0" fillId="5" borderId="0" xfId="0" applyNumberFormat="1" applyFill="1"/>
    <xf numFmtId="0" fontId="0" fillId="6" borderId="0" xfId="0" applyFill="1"/>
    <xf numFmtId="49" fontId="0" fillId="6" borderId="0" xfId="0" applyNumberFormat="1" applyFill="1"/>
    <xf numFmtId="2" fontId="0" fillId="6" borderId="0" xfId="0" applyNumberFormat="1" applyFill="1"/>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0D72F-8717-1243-B22B-BCCF016A0C40}">
  <dimension ref="A1:W221"/>
  <sheetViews>
    <sheetView tabSelected="1" zoomScaleNormal="100" workbookViewId="0">
      <pane ySplit="1" topLeftCell="A2" activePane="bottomLeft" state="frozen"/>
      <selection pane="bottomLeft" activeCell="F1" sqref="F1:F1048576"/>
    </sheetView>
  </sheetViews>
  <sheetFormatPr baseColWidth="10" defaultRowHeight="16" x14ac:dyDescent="0.2"/>
  <cols>
    <col min="1" max="1" width="6.1640625" customWidth="1"/>
    <col min="3" max="3" width="5.6640625" hidden="1" customWidth="1"/>
    <col min="5" max="5" width="0" hidden="1" customWidth="1"/>
    <col min="8" max="8" width="10.83203125" style="18"/>
    <col min="9" max="19" width="10.83203125" style="6"/>
    <col min="20" max="20" width="10.83203125" style="7"/>
  </cols>
  <sheetData>
    <row r="1" spans="1:23" x14ac:dyDescent="0.2">
      <c r="A1" t="s">
        <v>0</v>
      </c>
      <c r="B1" t="s">
        <v>1</v>
      </c>
      <c r="C1" t="s">
        <v>2</v>
      </c>
      <c r="D1" t="s">
        <v>3</v>
      </c>
      <c r="E1" t="s">
        <v>4</v>
      </c>
      <c r="F1" t="s">
        <v>5</v>
      </c>
      <c r="G1" t="s">
        <v>549</v>
      </c>
      <c r="H1" s="18" t="s">
        <v>561</v>
      </c>
      <c r="I1" s="9" t="s">
        <v>540</v>
      </c>
      <c r="J1" s="9" t="s">
        <v>541</v>
      </c>
      <c r="K1" s="9" t="s">
        <v>542</v>
      </c>
      <c r="L1" s="9" t="s">
        <v>543</v>
      </c>
      <c r="M1" s="9" t="s">
        <v>544</v>
      </c>
      <c r="N1" s="9" t="s">
        <v>564</v>
      </c>
      <c r="O1" s="9" t="s">
        <v>545</v>
      </c>
      <c r="P1" s="9"/>
      <c r="Q1" s="9" t="s">
        <v>546</v>
      </c>
      <c r="R1" s="9" t="s">
        <v>547</v>
      </c>
      <c r="S1" s="9" t="s">
        <v>548</v>
      </c>
      <c r="T1"/>
    </row>
    <row r="2" spans="1:23" s="1" customFormat="1" x14ac:dyDescent="0.2">
      <c r="A2" s="1">
        <v>1</v>
      </c>
      <c r="B2" s="1" t="s">
        <v>6</v>
      </c>
      <c r="C2" s="1">
        <v>2024</v>
      </c>
      <c r="D2" s="1" t="s">
        <v>7</v>
      </c>
      <c r="E2" s="1">
        <v>83</v>
      </c>
      <c r="F2" s="1" t="s">
        <v>8</v>
      </c>
      <c r="G2" s="2"/>
      <c r="H2" s="19"/>
      <c r="I2" s="13"/>
      <c r="J2" s="13"/>
      <c r="K2" s="5">
        <v>0.36046511627906974</v>
      </c>
      <c r="L2" s="13"/>
      <c r="M2" s="13"/>
      <c r="N2" s="13"/>
      <c r="O2" s="13"/>
      <c r="P2" s="13"/>
      <c r="Q2" s="13"/>
      <c r="R2" s="13"/>
      <c r="S2" s="13"/>
      <c r="T2" s="8"/>
    </row>
    <row r="3" spans="1:23" x14ac:dyDescent="0.2">
      <c r="A3">
        <v>2</v>
      </c>
      <c r="B3" t="s">
        <v>9</v>
      </c>
      <c r="C3">
        <v>2015</v>
      </c>
      <c r="D3" t="s">
        <v>10</v>
      </c>
      <c r="E3">
        <v>30</v>
      </c>
      <c r="F3" t="s">
        <v>11</v>
      </c>
      <c r="G3" s="4">
        <v>40</v>
      </c>
      <c r="H3" s="20">
        <v>10</v>
      </c>
      <c r="I3" s="4">
        <v>0.25</v>
      </c>
      <c r="J3" s="4"/>
      <c r="K3" s="4"/>
      <c r="L3" s="4"/>
      <c r="M3" s="4"/>
      <c r="N3" s="4"/>
      <c r="O3" s="4">
        <v>0.125</v>
      </c>
      <c r="P3" s="4"/>
      <c r="U3" s="4"/>
      <c r="V3" s="4"/>
      <c r="W3" s="4"/>
    </row>
    <row r="4" spans="1:23" x14ac:dyDescent="0.2">
      <c r="A4">
        <v>3</v>
      </c>
      <c r="B4" t="s">
        <v>12</v>
      </c>
      <c r="C4">
        <v>2009</v>
      </c>
      <c r="D4" t="s">
        <v>13</v>
      </c>
      <c r="E4">
        <v>108</v>
      </c>
      <c r="F4" t="s">
        <v>14</v>
      </c>
      <c r="G4" s="4">
        <v>63</v>
      </c>
      <c r="H4" s="20"/>
      <c r="I4" s="4"/>
      <c r="J4" s="4">
        <v>0.22222222222222221</v>
      </c>
      <c r="K4" s="4"/>
      <c r="L4" s="4"/>
      <c r="M4" s="4"/>
      <c r="N4" s="4"/>
      <c r="O4" s="4"/>
      <c r="P4" s="4"/>
      <c r="U4" s="4"/>
      <c r="V4" s="4"/>
      <c r="W4" s="4"/>
    </row>
    <row r="5" spans="1:23" x14ac:dyDescent="0.2">
      <c r="A5">
        <v>4</v>
      </c>
      <c r="B5" t="s">
        <v>15</v>
      </c>
      <c r="C5">
        <v>2025</v>
      </c>
      <c r="D5" t="s">
        <v>16</v>
      </c>
      <c r="E5">
        <v>15</v>
      </c>
      <c r="F5" t="s">
        <v>17</v>
      </c>
      <c r="G5" s="4">
        <v>575</v>
      </c>
      <c r="H5" s="20">
        <v>125</v>
      </c>
      <c r="I5" s="4">
        <v>0.21739130434782608</v>
      </c>
      <c r="J5" s="4"/>
      <c r="K5" s="4"/>
      <c r="L5" s="4"/>
      <c r="M5" s="4"/>
      <c r="N5" s="4"/>
      <c r="O5" s="4"/>
      <c r="P5" s="4"/>
      <c r="U5" s="4"/>
      <c r="V5" s="4"/>
      <c r="W5" s="4"/>
    </row>
    <row r="6" spans="1:23" s="1" customFormat="1" x14ac:dyDescent="0.2">
      <c r="A6" s="1">
        <v>5</v>
      </c>
      <c r="B6" s="1" t="s">
        <v>18</v>
      </c>
      <c r="C6" s="1">
        <v>2025</v>
      </c>
      <c r="D6" s="1" t="s">
        <v>19</v>
      </c>
      <c r="E6" s="1">
        <v>113</v>
      </c>
      <c r="F6" s="1" t="s">
        <v>20</v>
      </c>
      <c r="G6" s="5"/>
      <c r="H6" s="20"/>
      <c r="I6" s="5"/>
      <c r="J6" s="5"/>
      <c r="K6" s="5"/>
      <c r="L6" s="5"/>
      <c r="M6" s="5"/>
      <c r="N6" s="5"/>
      <c r="O6" s="5"/>
      <c r="P6" s="5"/>
      <c r="Q6" s="13"/>
      <c r="R6" s="13"/>
      <c r="S6" s="13"/>
      <c r="T6" s="8"/>
      <c r="U6" s="5"/>
      <c r="V6" s="5"/>
      <c r="W6" s="5"/>
    </row>
    <row r="7" spans="1:23" x14ac:dyDescent="0.2">
      <c r="A7">
        <v>6</v>
      </c>
      <c r="B7" t="s">
        <v>21</v>
      </c>
      <c r="C7">
        <v>2025</v>
      </c>
      <c r="D7" t="s">
        <v>22</v>
      </c>
      <c r="E7">
        <v>14</v>
      </c>
      <c r="F7" t="s">
        <v>23</v>
      </c>
      <c r="G7" s="4">
        <v>24422</v>
      </c>
      <c r="H7" s="20"/>
      <c r="I7" s="4"/>
      <c r="J7" s="4"/>
      <c r="K7" s="4"/>
      <c r="L7" s="4"/>
      <c r="M7" s="4"/>
      <c r="N7" s="4"/>
      <c r="O7" s="4">
        <v>0.15890000000000001</v>
      </c>
      <c r="P7" s="4"/>
      <c r="U7" s="4"/>
      <c r="V7" s="4"/>
      <c r="W7" s="4"/>
    </row>
    <row r="8" spans="1:23" x14ac:dyDescent="0.2">
      <c r="A8">
        <v>7</v>
      </c>
      <c r="B8" t="s">
        <v>24</v>
      </c>
      <c r="C8">
        <v>2025</v>
      </c>
      <c r="D8" t="s">
        <v>25</v>
      </c>
      <c r="E8">
        <v>140</v>
      </c>
      <c r="F8" t="s">
        <v>26</v>
      </c>
      <c r="G8" s="4">
        <v>257</v>
      </c>
      <c r="H8" s="20">
        <v>101</v>
      </c>
      <c r="I8" s="4">
        <v>0.39299610894941633</v>
      </c>
      <c r="J8" s="4"/>
      <c r="K8" s="4"/>
      <c r="L8" s="4"/>
      <c r="M8" s="4"/>
      <c r="N8" s="4"/>
      <c r="O8" s="4"/>
      <c r="P8" s="4"/>
      <c r="Q8" s="4"/>
      <c r="R8" s="4"/>
      <c r="S8" s="4"/>
      <c r="U8" s="4"/>
      <c r="V8" s="4"/>
      <c r="W8" s="4"/>
    </row>
    <row r="9" spans="1:23" x14ac:dyDescent="0.2">
      <c r="A9">
        <v>8</v>
      </c>
      <c r="B9" t="s">
        <v>27</v>
      </c>
      <c r="C9">
        <v>2025</v>
      </c>
      <c r="D9" t="s">
        <v>28</v>
      </c>
      <c r="E9">
        <v>25</v>
      </c>
      <c r="F9" t="s">
        <v>29</v>
      </c>
      <c r="G9" s="4">
        <v>158</v>
      </c>
      <c r="H9" s="20"/>
      <c r="I9" s="4"/>
      <c r="K9" s="4">
        <v>0.70886075949367089</v>
      </c>
      <c r="L9" s="4"/>
      <c r="M9" s="4"/>
      <c r="N9" s="4"/>
      <c r="O9" s="4"/>
      <c r="P9" s="4"/>
      <c r="Q9" s="4"/>
      <c r="R9" s="4"/>
      <c r="S9" s="4"/>
      <c r="U9" s="4"/>
      <c r="V9" s="4"/>
      <c r="W9" s="4"/>
    </row>
    <row r="10" spans="1:23" s="14" customFormat="1" x14ac:dyDescent="0.2">
      <c r="A10" s="14">
        <v>9</v>
      </c>
      <c r="B10" s="14" t="s">
        <v>30</v>
      </c>
      <c r="C10" s="14">
        <v>2025</v>
      </c>
      <c r="D10" s="14" t="s">
        <v>31</v>
      </c>
      <c r="E10" s="14">
        <v>104</v>
      </c>
      <c r="F10" s="14" t="s">
        <v>32</v>
      </c>
      <c r="G10" s="15">
        <v>101</v>
      </c>
      <c r="H10" s="20"/>
      <c r="I10" s="15"/>
      <c r="J10" s="15"/>
      <c r="K10" s="15"/>
      <c r="L10" s="15"/>
      <c r="M10" s="15"/>
      <c r="N10" s="15"/>
      <c r="O10" s="15"/>
      <c r="P10" s="15"/>
      <c r="Q10" s="15"/>
      <c r="R10" s="15"/>
      <c r="S10" s="15"/>
      <c r="T10" s="16"/>
      <c r="U10" s="15"/>
      <c r="V10" s="15"/>
      <c r="W10" s="15"/>
    </row>
    <row r="11" spans="1:23" s="14" customFormat="1" x14ac:dyDescent="0.2">
      <c r="A11" s="14">
        <v>10</v>
      </c>
      <c r="B11" s="14" t="s">
        <v>33</v>
      </c>
      <c r="C11" s="14">
        <v>2025</v>
      </c>
      <c r="D11" s="14" t="s">
        <v>34</v>
      </c>
      <c r="E11" s="14">
        <v>41</v>
      </c>
      <c r="F11" s="14" t="s">
        <v>35</v>
      </c>
      <c r="G11" s="15"/>
      <c r="H11" s="20"/>
      <c r="I11" s="15"/>
      <c r="J11" s="15"/>
      <c r="K11" s="15"/>
      <c r="L11" s="15"/>
      <c r="M11" s="15"/>
      <c r="N11" s="15"/>
      <c r="O11" s="15"/>
      <c r="P11" s="15"/>
      <c r="Q11" s="15"/>
      <c r="R11" s="15"/>
      <c r="S11" s="15"/>
      <c r="T11" s="16"/>
      <c r="U11" s="15"/>
      <c r="V11" s="15"/>
      <c r="W11" s="15"/>
    </row>
    <row r="12" spans="1:23" s="14" customFormat="1" x14ac:dyDescent="0.2">
      <c r="A12" s="14">
        <v>11</v>
      </c>
      <c r="B12" s="14" t="s">
        <v>36</v>
      </c>
      <c r="C12" s="14">
        <v>2025</v>
      </c>
      <c r="D12" s="14" t="s">
        <v>37</v>
      </c>
      <c r="E12" s="14">
        <v>240</v>
      </c>
      <c r="F12" s="14" t="s">
        <v>38</v>
      </c>
      <c r="G12" s="15">
        <v>4742</v>
      </c>
      <c r="H12" s="20"/>
      <c r="I12" s="15"/>
      <c r="J12" s="15"/>
      <c r="K12" s="15"/>
      <c r="L12" s="15"/>
      <c r="M12" s="15"/>
      <c r="N12" s="15"/>
      <c r="O12" s="15"/>
      <c r="P12" s="15"/>
      <c r="Q12" s="15"/>
      <c r="R12" s="15"/>
      <c r="S12" s="15"/>
      <c r="T12" s="16"/>
      <c r="U12" s="15"/>
      <c r="V12" s="15"/>
      <c r="W12" s="15"/>
    </row>
    <row r="13" spans="1:23" s="14" customFormat="1" x14ac:dyDescent="0.2">
      <c r="A13" s="14">
        <v>12</v>
      </c>
      <c r="B13" s="14" t="s">
        <v>39</v>
      </c>
      <c r="C13" s="14">
        <v>2025</v>
      </c>
      <c r="D13" s="14" t="s">
        <v>40</v>
      </c>
      <c r="E13" s="14">
        <v>53</v>
      </c>
      <c r="F13" s="14" t="s">
        <v>41</v>
      </c>
      <c r="G13" s="15">
        <v>610</v>
      </c>
      <c r="H13" s="20"/>
      <c r="I13" s="15"/>
      <c r="J13" s="15"/>
      <c r="K13" s="15"/>
      <c r="L13" s="15"/>
      <c r="M13" s="15"/>
      <c r="N13" s="15"/>
      <c r="O13" s="15"/>
      <c r="P13" s="15"/>
      <c r="Q13" s="15"/>
      <c r="R13" s="15"/>
      <c r="S13" s="15"/>
      <c r="T13" s="16"/>
      <c r="U13" s="15"/>
      <c r="V13" s="15"/>
      <c r="W13" s="15"/>
    </row>
    <row r="14" spans="1:23" s="10" customFormat="1" x14ac:dyDescent="0.2">
      <c r="A14" s="10">
        <v>13</v>
      </c>
      <c r="B14" s="10" t="s">
        <v>42</v>
      </c>
      <c r="C14" s="10">
        <v>2025</v>
      </c>
      <c r="D14" s="10" t="s">
        <v>43</v>
      </c>
      <c r="E14" s="10">
        <v>51</v>
      </c>
      <c r="F14" s="10" t="s">
        <v>44</v>
      </c>
      <c r="G14" s="11">
        <v>658</v>
      </c>
      <c r="H14" s="20">
        <v>57</v>
      </c>
      <c r="I14" s="11">
        <v>8.6626139817629177E-2</v>
      </c>
      <c r="J14" s="11"/>
      <c r="K14" s="11"/>
      <c r="L14" s="11"/>
      <c r="M14" s="11">
        <v>0.13996889580093314</v>
      </c>
      <c r="N14" s="11"/>
      <c r="O14" s="11"/>
      <c r="P14" s="11"/>
      <c r="Q14" s="11"/>
      <c r="R14" s="11"/>
      <c r="S14" s="11"/>
      <c r="T14" s="12"/>
      <c r="U14" s="11"/>
      <c r="V14" s="11"/>
      <c r="W14" s="11"/>
    </row>
    <row r="15" spans="1:23" x14ac:dyDescent="0.2">
      <c r="A15">
        <v>14</v>
      </c>
      <c r="B15" t="s">
        <v>45</v>
      </c>
      <c r="C15">
        <v>2024</v>
      </c>
      <c r="D15" t="s">
        <v>46</v>
      </c>
      <c r="E15">
        <v>30</v>
      </c>
      <c r="F15" t="s">
        <v>47</v>
      </c>
      <c r="G15" s="4">
        <v>129</v>
      </c>
      <c r="H15" s="20"/>
      <c r="I15" s="4"/>
      <c r="J15" s="4"/>
      <c r="K15" s="4">
        <v>0.43410852713178294</v>
      </c>
      <c r="L15" s="4"/>
      <c r="M15" s="4"/>
      <c r="N15" s="4"/>
      <c r="O15" s="4"/>
      <c r="P15" s="4"/>
      <c r="Q15" s="4"/>
      <c r="R15" s="4"/>
      <c r="S15" s="4"/>
      <c r="U15" s="4"/>
      <c r="V15" s="4"/>
      <c r="W15" s="4"/>
    </row>
    <row r="16" spans="1:23" s="14" customFormat="1" x14ac:dyDescent="0.2">
      <c r="A16" s="14">
        <v>15</v>
      </c>
      <c r="B16" s="14" t="s">
        <v>48</v>
      </c>
      <c r="C16" s="14">
        <v>2024</v>
      </c>
      <c r="D16" s="14" t="s">
        <v>49</v>
      </c>
      <c r="E16" s="14">
        <v>14</v>
      </c>
      <c r="F16" s="14" t="s">
        <v>50</v>
      </c>
      <c r="G16" s="15">
        <v>569</v>
      </c>
      <c r="H16" s="20"/>
      <c r="I16" s="15"/>
      <c r="J16" s="15"/>
      <c r="K16" s="15"/>
      <c r="L16" s="15"/>
      <c r="M16" s="15"/>
      <c r="N16" s="15"/>
      <c r="O16" s="15"/>
      <c r="P16" s="15"/>
      <c r="Q16" s="15"/>
      <c r="R16" s="15"/>
      <c r="S16" s="15"/>
      <c r="T16" s="16"/>
      <c r="U16" s="15"/>
      <c r="V16" s="15"/>
      <c r="W16" s="15"/>
    </row>
    <row r="17" spans="1:23" s="14" customFormat="1" x14ac:dyDescent="0.2">
      <c r="A17" s="14">
        <v>16</v>
      </c>
      <c r="B17" s="14" t="s">
        <v>51</v>
      </c>
      <c r="C17" s="14">
        <v>2024</v>
      </c>
      <c r="D17" s="14" t="s">
        <v>52</v>
      </c>
      <c r="E17" s="14">
        <v>15</v>
      </c>
      <c r="F17" s="14" t="s">
        <v>53</v>
      </c>
      <c r="G17" s="15">
        <v>152</v>
      </c>
      <c r="H17" s="20"/>
      <c r="I17" s="15"/>
      <c r="J17" s="15"/>
      <c r="K17" s="15"/>
      <c r="L17" s="15"/>
      <c r="M17" s="15"/>
      <c r="N17" s="15"/>
      <c r="O17" s="15"/>
      <c r="P17" s="15"/>
      <c r="Q17" s="15"/>
      <c r="R17" s="15"/>
      <c r="S17" s="15"/>
      <c r="T17" s="16"/>
      <c r="U17" s="15"/>
      <c r="V17" s="15"/>
      <c r="W17" s="15"/>
    </row>
    <row r="18" spans="1:23" x14ac:dyDescent="0.2">
      <c r="A18">
        <v>17</v>
      </c>
      <c r="B18" t="s">
        <v>54</v>
      </c>
      <c r="C18">
        <v>2024</v>
      </c>
      <c r="D18" t="s">
        <v>55</v>
      </c>
      <c r="E18">
        <v>14</v>
      </c>
      <c r="F18" t="s">
        <v>56</v>
      </c>
      <c r="G18" s="4">
        <v>108</v>
      </c>
      <c r="H18" s="20"/>
      <c r="I18" s="4"/>
      <c r="J18" s="4"/>
      <c r="K18" s="4"/>
      <c r="L18" s="4"/>
      <c r="M18" s="4"/>
      <c r="N18" s="4"/>
      <c r="O18" s="4">
        <v>0.27777777777777779</v>
      </c>
      <c r="P18" s="4"/>
      <c r="Q18" s="4"/>
      <c r="R18" s="4"/>
      <c r="S18" s="4"/>
      <c r="U18" s="4"/>
      <c r="V18" s="4"/>
      <c r="W18" s="4"/>
    </row>
    <row r="19" spans="1:23" x14ac:dyDescent="0.2">
      <c r="A19">
        <v>18</v>
      </c>
      <c r="B19" t="s">
        <v>57</v>
      </c>
      <c r="C19">
        <v>2024</v>
      </c>
      <c r="D19" t="s">
        <v>58</v>
      </c>
      <c r="E19">
        <v>39</v>
      </c>
      <c r="F19" t="s">
        <v>59</v>
      </c>
      <c r="G19" s="4">
        <v>72107</v>
      </c>
      <c r="H19" s="20"/>
      <c r="I19" s="4"/>
      <c r="J19" s="4"/>
      <c r="K19" s="4"/>
      <c r="L19" s="4"/>
      <c r="M19" s="4"/>
      <c r="N19" s="4"/>
      <c r="O19" s="4">
        <f>13901/72107</f>
        <v>0.19278294756403677</v>
      </c>
      <c r="P19" s="4"/>
      <c r="Q19" s="4"/>
      <c r="R19" s="4"/>
      <c r="S19" s="4"/>
      <c r="U19" s="4"/>
      <c r="V19" s="4"/>
      <c r="W19" s="4"/>
    </row>
    <row r="20" spans="1:23" x14ac:dyDescent="0.2">
      <c r="A20">
        <v>19</v>
      </c>
      <c r="B20" t="s">
        <v>60</v>
      </c>
      <c r="C20">
        <v>2024</v>
      </c>
      <c r="D20" t="s">
        <v>61</v>
      </c>
      <c r="E20">
        <v>60</v>
      </c>
      <c r="F20" t="s">
        <v>62</v>
      </c>
      <c r="G20" s="4">
        <v>230</v>
      </c>
      <c r="H20" s="20"/>
      <c r="I20" s="4"/>
      <c r="J20" s="4"/>
      <c r="K20" s="4">
        <v>0.4</v>
      </c>
      <c r="L20" s="4"/>
      <c r="M20" s="4">
        <v>0.5130434782608696</v>
      </c>
      <c r="N20" s="4"/>
      <c r="O20" s="4"/>
      <c r="P20" s="4"/>
      <c r="Q20" s="4"/>
      <c r="R20" s="4"/>
      <c r="S20" s="4"/>
      <c r="U20" s="4"/>
      <c r="V20" s="4"/>
      <c r="W20" s="4"/>
    </row>
    <row r="21" spans="1:23" x14ac:dyDescent="0.2">
      <c r="A21">
        <v>20</v>
      </c>
      <c r="B21" t="s">
        <v>63</v>
      </c>
      <c r="C21">
        <v>2024</v>
      </c>
      <c r="D21" t="s">
        <v>16</v>
      </c>
      <c r="E21">
        <v>14</v>
      </c>
      <c r="F21" t="s">
        <v>64</v>
      </c>
      <c r="G21" s="4">
        <v>2026</v>
      </c>
      <c r="H21" s="20">
        <v>301</v>
      </c>
      <c r="I21" s="4">
        <v>0.14856860809476802</v>
      </c>
      <c r="J21" s="4">
        <v>0.29664363277393879</v>
      </c>
      <c r="K21" s="4"/>
      <c r="L21" s="4"/>
      <c r="M21" s="4">
        <v>0.40720631786771966</v>
      </c>
      <c r="N21" s="4"/>
      <c r="O21" s="4">
        <v>0.24383020730503455</v>
      </c>
      <c r="P21" s="4"/>
      <c r="Q21" s="4"/>
      <c r="R21" s="4"/>
      <c r="S21" s="4"/>
      <c r="U21" s="4"/>
      <c r="V21" s="4"/>
      <c r="W21" s="4"/>
    </row>
    <row r="22" spans="1:23" s="14" customFormat="1" x14ac:dyDescent="0.2">
      <c r="A22" s="14">
        <v>21</v>
      </c>
      <c r="B22" s="14" t="s">
        <v>65</v>
      </c>
      <c r="C22" s="14">
        <v>2024</v>
      </c>
      <c r="D22" s="14" t="s">
        <v>66</v>
      </c>
      <c r="E22" s="14">
        <v>24</v>
      </c>
      <c r="F22" s="14" t="s">
        <v>67</v>
      </c>
      <c r="G22" s="15">
        <v>101</v>
      </c>
      <c r="H22" s="20"/>
      <c r="I22" s="15"/>
      <c r="J22" s="15"/>
      <c r="K22" s="15"/>
      <c r="L22" s="15"/>
      <c r="M22" s="15"/>
      <c r="N22" s="15"/>
      <c r="O22" s="15"/>
      <c r="P22" s="15"/>
      <c r="Q22" s="15"/>
      <c r="R22" s="15"/>
      <c r="S22" s="15"/>
      <c r="T22" s="16"/>
      <c r="U22" s="15"/>
      <c r="V22" s="15"/>
      <c r="W22" s="15"/>
    </row>
    <row r="23" spans="1:23" x14ac:dyDescent="0.2">
      <c r="A23">
        <v>22</v>
      </c>
      <c r="B23" t="s">
        <v>68</v>
      </c>
      <c r="C23">
        <v>2024</v>
      </c>
      <c r="D23" t="s">
        <v>69</v>
      </c>
      <c r="E23">
        <v>14</v>
      </c>
      <c r="F23" t="s">
        <v>70</v>
      </c>
      <c r="G23" s="4">
        <v>778</v>
      </c>
      <c r="H23" s="20"/>
      <c r="I23" s="4"/>
      <c r="J23" s="4"/>
      <c r="K23" s="4">
        <v>0.43316195372750643</v>
      </c>
      <c r="L23" s="4"/>
      <c r="M23" s="4"/>
      <c r="N23" s="4"/>
      <c r="O23" s="4"/>
      <c r="P23" s="4"/>
      <c r="Q23" s="4"/>
      <c r="R23" s="4"/>
      <c r="S23" s="4"/>
      <c r="U23" s="4"/>
      <c r="V23" s="4"/>
      <c r="W23" s="4"/>
    </row>
    <row r="24" spans="1:23" s="10" customFormat="1" x14ac:dyDescent="0.2">
      <c r="A24" s="14">
        <v>23</v>
      </c>
      <c r="B24" s="14" t="s">
        <v>71</v>
      </c>
      <c r="C24" s="10">
        <v>2024</v>
      </c>
      <c r="D24" s="10" t="s">
        <v>72</v>
      </c>
      <c r="E24" s="10">
        <v>46</v>
      </c>
      <c r="F24" s="10" t="s">
        <v>73</v>
      </c>
      <c r="G24" s="11"/>
      <c r="H24" s="20"/>
      <c r="I24" s="11"/>
      <c r="J24" s="11"/>
      <c r="K24" s="11"/>
      <c r="L24" s="11"/>
      <c r="M24" s="11"/>
      <c r="N24" s="11"/>
      <c r="O24" s="11"/>
      <c r="P24" s="11"/>
      <c r="Q24" s="11"/>
      <c r="R24" s="11"/>
      <c r="S24" s="11"/>
      <c r="T24" s="12"/>
      <c r="U24" s="11"/>
      <c r="V24" s="11"/>
      <c r="W24" s="11"/>
    </row>
    <row r="25" spans="1:23" s="1" customFormat="1" x14ac:dyDescent="0.2">
      <c r="A25" s="1">
        <v>24</v>
      </c>
      <c r="B25" s="1" t="s">
        <v>74</v>
      </c>
      <c r="C25" s="1">
        <v>2023</v>
      </c>
      <c r="D25" s="1" t="s">
        <v>75</v>
      </c>
      <c r="E25" s="1">
        <v>135</v>
      </c>
      <c r="F25" s="1" t="s">
        <v>76</v>
      </c>
      <c r="G25" s="5"/>
      <c r="H25" s="20"/>
      <c r="I25" s="5"/>
      <c r="J25" s="5"/>
      <c r="K25" s="5"/>
      <c r="L25" s="5"/>
      <c r="M25" s="5"/>
      <c r="N25" s="5"/>
      <c r="O25" s="5"/>
      <c r="P25" s="5"/>
      <c r="Q25" s="5"/>
      <c r="R25" s="5"/>
      <c r="S25" s="5"/>
      <c r="T25" s="8"/>
      <c r="U25" s="5"/>
      <c r="V25" s="5"/>
      <c r="W25" s="5"/>
    </row>
    <row r="26" spans="1:23" x14ac:dyDescent="0.2">
      <c r="A26">
        <v>25</v>
      </c>
      <c r="B26" t="s">
        <v>77</v>
      </c>
      <c r="C26">
        <v>2023</v>
      </c>
      <c r="D26" t="s">
        <v>78</v>
      </c>
      <c r="E26">
        <v>59</v>
      </c>
      <c r="F26" t="s">
        <v>79</v>
      </c>
      <c r="G26" s="4">
        <v>204</v>
      </c>
      <c r="H26" s="20"/>
      <c r="I26" s="4"/>
      <c r="J26" s="4"/>
      <c r="K26" s="4">
        <v>0.25980392156862747</v>
      </c>
      <c r="L26" s="4"/>
      <c r="M26" s="4"/>
      <c r="N26" s="4"/>
      <c r="O26" s="4"/>
      <c r="P26" s="4"/>
      <c r="Q26" s="4"/>
      <c r="R26" s="4"/>
      <c r="S26" s="4"/>
      <c r="U26" s="4"/>
      <c r="V26" s="4"/>
      <c r="W26" s="4"/>
    </row>
    <row r="27" spans="1:23" x14ac:dyDescent="0.2">
      <c r="A27">
        <v>26</v>
      </c>
      <c r="B27" t="s">
        <v>80</v>
      </c>
      <c r="C27">
        <v>2023</v>
      </c>
      <c r="D27" t="s">
        <v>55</v>
      </c>
      <c r="E27">
        <v>13</v>
      </c>
      <c r="F27" t="s">
        <v>81</v>
      </c>
      <c r="G27" s="4">
        <v>262</v>
      </c>
      <c r="H27" s="20">
        <v>42</v>
      </c>
      <c r="I27" s="4">
        <v>0.16030534351145037</v>
      </c>
      <c r="J27" s="4"/>
      <c r="K27" s="4"/>
      <c r="L27" s="4"/>
      <c r="M27" s="4"/>
      <c r="N27" s="4"/>
      <c r="O27" s="4"/>
      <c r="P27" s="4"/>
      <c r="Q27" s="4"/>
      <c r="R27" s="4"/>
      <c r="S27" s="4"/>
      <c r="U27" s="4"/>
      <c r="V27" s="4"/>
      <c r="W27" s="4"/>
    </row>
    <row r="28" spans="1:23" s="14" customFormat="1" x14ac:dyDescent="0.2">
      <c r="A28" s="14">
        <v>27</v>
      </c>
      <c r="B28" s="14" t="s">
        <v>82</v>
      </c>
      <c r="C28" s="14">
        <v>2023</v>
      </c>
      <c r="D28" s="14" t="s">
        <v>83</v>
      </c>
      <c r="E28" s="14">
        <v>18</v>
      </c>
      <c r="F28" s="14" t="s">
        <v>84</v>
      </c>
      <c r="G28" s="15"/>
      <c r="H28" s="20"/>
      <c r="I28" s="15"/>
      <c r="J28" s="15"/>
      <c r="K28" s="15"/>
      <c r="L28" s="15"/>
      <c r="M28" s="15"/>
      <c r="N28" s="15"/>
      <c r="O28" s="15"/>
      <c r="P28" s="15"/>
      <c r="Q28" s="15"/>
      <c r="R28" s="15"/>
      <c r="S28" s="15"/>
      <c r="T28" s="16"/>
      <c r="U28" s="15"/>
      <c r="V28" s="15"/>
      <c r="W28" s="15"/>
    </row>
    <row r="29" spans="1:23" x14ac:dyDescent="0.2">
      <c r="A29">
        <v>28</v>
      </c>
      <c r="B29" t="s">
        <v>85</v>
      </c>
      <c r="C29">
        <v>2023</v>
      </c>
      <c r="D29" t="s">
        <v>86</v>
      </c>
      <c r="E29">
        <v>53</v>
      </c>
      <c r="F29" t="s">
        <v>87</v>
      </c>
      <c r="G29" s="4">
        <v>203</v>
      </c>
      <c r="H29" s="20"/>
      <c r="I29" s="4"/>
      <c r="J29" s="4"/>
      <c r="K29" s="4">
        <v>6.4039408866995079E-2</v>
      </c>
      <c r="L29" s="4"/>
      <c r="M29" s="4"/>
      <c r="N29" s="4"/>
      <c r="O29" s="4">
        <v>5.4187192118226604E-2</v>
      </c>
      <c r="P29" s="4"/>
      <c r="Q29" s="4" t="s">
        <v>550</v>
      </c>
      <c r="R29" s="4" t="s">
        <v>551</v>
      </c>
      <c r="S29" s="4"/>
      <c r="U29" s="4"/>
      <c r="V29" s="4"/>
      <c r="W29" s="4"/>
    </row>
    <row r="30" spans="1:23" s="14" customFormat="1" x14ac:dyDescent="0.2">
      <c r="A30" s="14">
        <v>29</v>
      </c>
      <c r="B30" s="14" t="s">
        <v>88</v>
      </c>
      <c r="C30" s="14">
        <v>2023</v>
      </c>
      <c r="D30" s="14" t="s">
        <v>89</v>
      </c>
      <c r="E30" s="14">
        <v>23</v>
      </c>
      <c r="F30" s="14" t="s">
        <v>90</v>
      </c>
      <c r="G30" s="15">
        <v>856</v>
      </c>
      <c r="H30" s="20">
        <v>155</v>
      </c>
      <c r="I30" s="15"/>
      <c r="J30" s="15"/>
      <c r="K30" s="15"/>
      <c r="L30" s="15"/>
      <c r="M30" s="15"/>
      <c r="N30" s="15"/>
      <c r="O30" s="15"/>
      <c r="P30" s="15"/>
      <c r="Q30" s="15"/>
      <c r="R30" s="15"/>
      <c r="S30" s="15"/>
      <c r="T30" s="16"/>
      <c r="U30" s="15"/>
      <c r="V30" s="15"/>
      <c r="W30" s="15"/>
    </row>
    <row r="31" spans="1:23" x14ac:dyDescent="0.2">
      <c r="A31">
        <v>30</v>
      </c>
      <c r="B31" t="s">
        <v>91</v>
      </c>
      <c r="C31">
        <v>2023</v>
      </c>
      <c r="D31" t="s">
        <v>92</v>
      </c>
      <c r="E31">
        <v>11</v>
      </c>
      <c r="F31" t="s">
        <v>93</v>
      </c>
      <c r="G31" s="4">
        <v>393</v>
      </c>
      <c r="H31" s="20">
        <v>162</v>
      </c>
      <c r="I31" s="4">
        <v>0.41221374045801529</v>
      </c>
      <c r="J31" s="4"/>
      <c r="K31" s="4"/>
      <c r="L31" s="4"/>
      <c r="M31" s="4"/>
      <c r="N31" s="4"/>
      <c r="O31" s="4"/>
      <c r="P31" s="4"/>
      <c r="Q31" s="4" t="s">
        <v>552</v>
      </c>
      <c r="R31" s="4"/>
      <c r="S31" s="4"/>
      <c r="U31" s="4"/>
      <c r="V31" s="4"/>
      <c r="W31" s="4"/>
    </row>
    <row r="32" spans="1:23" x14ac:dyDescent="0.2">
      <c r="A32">
        <v>31</v>
      </c>
      <c r="B32" t="s">
        <v>94</v>
      </c>
      <c r="C32">
        <v>2023</v>
      </c>
      <c r="D32" t="s">
        <v>95</v>
      </c>
      <c r="E32">
        <v>65</v>
      </c>
      <c r="F32" t="s">
        <v>96</v>
      </c>
      <c r="G32" s="4">
        <v>2275</v>
      </c>
      <c r="H32" s="20">
        <v>792</v>
      </c>
      <c r="I32" s="4">
        <v>0.34813186813186814</v>
      </c>
      <c r="J32" s="4"/>
      <c r="K32" s="4"/>
      <c r="L32" s="4"/>
      <c r="M32" s="4"/>
      <c r="N32" s="4"/>
      <c r="O32" s="4">
        <v>0.40659340659340659</v>
      </c>
      <c r="P32" s="4"/>
      <c r="Q32" s="4"/>
      <c r="R32" s="4"/>
      <c r="S32" s="4"/>
      <c r="U32" s="4"/>
      <c r="V32" s="4"/>
      <c r="W32" s="4"/>
    </row>
    <row r="33" spans="1:23" x14ac:dyDescent="0.2">
      <c r="A33">
        <v>32</v>
      </c>
      <c r="B33" t="s">
        <v>97</v>
      </c>
      <c r="C33">
        <v>2022</v>
      </c>
      <c r="D33" t="s">
        <v>31</v>
      </c>
      <c r="E33">
        <v>101</v>
      </c>
      <c r="F33" t="s">
        <v>98</v>
      </c>
      <c r="G33" s="4">
        <v>137</v>
      </c>
      <c r="H33" s="20">
        <v>19</v>
      </c>
      <c r="I33" s="4">
        <v>0.13868613138686131</v>
      </c>
      <c r="J33" s="4"/>
      <c r="K33" s="4"/>
      <c r="L33" s="4"/>
      <c r="M33" s="4">
        <v>0.17518248175182483</v>
      </c>
      <c r="N33" s="4"/>
      <c r="O33" s="4">
        <v>0.16788321167883211</v>
      </c>
      <c r="P33" s="4"/>
      <c r="Q33" s="4" t="s">
        <v>553</v>
      </c>
      <c r="R33" s="4"/>
      <c r="S33" s="4"/>
      <c r="U33" s="4"/>
      <c r="V33" s="4"/>
      <c r="W33" s="4"/>
    </row>
    <row r="34" spans="1:23" s="1" customFormat="1" x14ac:dyDescent="0.2">
      <c r="A34" s="1">
        <v>33</v>
      </c>
      <c r="B34" s="1" t="s">
        <v>99</v>
      </c>
      <c r="C34" s="1">
        <v>2022</v>
      </c>
      <c r="D34" s="1" t="s">
        <v>100</v>
      </c>
      <c r="E34" s="1">
        <v>46</v>
      </c>
      <c r="F34" s="1" t="s">
        <v>101</v>
      </c>
      <c r="G34" s="5"/>
      <c r="H34" s="20"/>
      <c r="I34" s="5"/>
      <c r="J34" s="5"/>
      <c r="K34" s="5"/>
      <c r="L34" s="5"/>
      <c r="M34" s="5"/>
      <c r="N34" s="5"/>
      <c r="O34" s="5"/>
      <c r="P34" s="5"/>
      <c r="Q34" s="5"/>
      <c r="R34" s="5"/>
      <c r="S34" s="5"/>
      <c r="T34" s="8"/>
      <c r="U34" s="5"/>
      <c r="V34" s="5"/>
      <c r="W34" s="5"/>
    </row>
    <row r="35" spans="1:23" x14ac:dyDescent="0.2">
      <c r="A35">
        <v>34</v>
      </c>
      <c r="B35" t="s">
        <v>102</v>
      </c>
      <c r="C35">
        <v>2022</v>
      </c>
      <c r="D35" t="s">
        <v>103</v>
      </c>
      <c r="E35">
        <v>23</v>
      </c>
      <c r="F35" t="s">
        <v>104</v>
      </c>
      <c r="G35" s="4">
        <v>873</v>
      </c>
      <c r="H35" s="20">
        <v>319</v>
      </c>
      <c r="I35" s="4">
        <v>0.3654066437571592</v>
      </c>
      <c r="J35" s="4"/>
      <c r="K35" s="4"/>
      <c r="L35" s="4"/>
      <c r="M35" s="4"/>
      <c r="N35" s="4"/>
      <c r="O35" s="4">
        <v>0.41351660939289803</v>
      </c>
      <c r="P35" s="4"/>
      <c r="Q35" s="4" t="s">
        <v>554</v>
      </c>
      <c r="R35" s="4" t="s">
        <v>555</v>
      </c>
      <c r="S35" s="4"/>
      <c r="U35" s="4"/>
      <c r="V35" s="4"/>
      <c r="W35" s="4"/>
    </row>
    <row r="36" spans="1:23" s="14" customFormat="1" x14ac:dyDescent="0.2">
      <c r="A36" s="14">
        <v>35</v>
      </c>
      <c r="B36" s="14" t="s">
        <v>105</v>
      </c>
      <c r="C36" s="14">
        <v>2022</v>
      </c>
      <c r="D36" s="14" t="s">
        <v>106</v>
      </c>
      <c r="E36" s="14">
        <v>101</v>
      </c>
      <c r="F36" s="14" t="s">
        <v>107</v>
      </c>
      <c r="G36" s="15"/>
      <c r="H36" s="20"/>
      <c r="I36" s="17"/>
      <c r="J36" s="17"/>
      <c r="K36" s="17"/>
      <c r="L36" s="17"/>
      <c r="M36" s="17"/>
      <c r="N36" s="17"/>
      <c r="O36" s="17"/>
      <c r="P36" s="17"/>
      <c r="Q36" s="17"/>
      <c r="R36" s="17"/>
      <c r="S36" s="17"/>
      <c r="T36" s="16"/>
      <c r="U36" s="15"/>
      <c r="V36" s="15"/>
      <c r="W36" s="15"/>
    </row>
    <row r="37" spans="1:23" s="14" customFormat="1" x14ac:dyDescent="0.2">
      <c r="A37" s="14">
        <v>36</v>
      </c>
      <c r="B37" s="14" t="s">
        <v>108</v>
      </c>
      <c r="C37" s="14">
        <v>2022</v>
      </c>
      <c r="D37" s="14" t="s">
        <v>55</v>
      </c>
      <c r="E37" s="14">
        <v>12</v>
      </c>
      <c r="F37" s="14" t="s">
        <v>109</v>
      </c>
      <c r="G37" s="15"/>
      <c r="H37" s="20"/>
      <c r="I37" s="17"/>
      <c r="J37" s="17"/>
      <c r="K37" s="17"/>
      <c r="L37" s="17"/>
      <c r="M37" s="17"/>
      <c r="N37" s="17"/>
      <c r="O37" s="17"/>
      <c r="P37" s="17"/>
      <c r="Q37" s="17"/>
      <c r="R37" s="17"/>
      <c r="S37" s="17"/>
      <c r="T37" s="16"/>
      <c r="U37" s="15"/>
      <c r="V37" s="15"/>
      <c r="W37" s="15"/>
    </row>
    <row r="38" spans="1:23" s="14" customFormat="1" x14ac:dyDescent="0.2">
      <c r="A38" s="14">
        <v>37</v>
      </c>
      <c r="B38" s="14" t="s">
        <v>110</v>
      </c>
      <c r="C38" s="14">
        <v>2021</v>
      </c>
      <c r="D38" s="14" t="s">
        <v>111</v>
      </c>
      <c r="E38" s="14">
        <v>45</v>
      </c>
      <c r="F38" s="14" t="s">
        <v>112</v>
      </c>
      <c r="G38" s="15"/>
      <c r="H38" s="20"/>
      <c r="I38" s="17"/>
      <c r="J38" s="17"/>
      <c r="K38" s="17"/>
      <c r="L38" s="17"/>
      <c r="M38" s="17"/>
      <c r="N38" s="17"/>
      <c r="O38" s="17"/>
      <c r="P38" s="17"/>
      <c r="Q38" s="17"/>
      <c r="R38" s="17"/>
      <c r="S38" s="17"/>
      <c r="T38" s="16"/>
      <c r="U38" s="15"/>
      <c r="V38" s="15"/>
      <c r="W38" s="15"/>
    </row>
    <row r="39" spans="1:23" s="14" customFormat="1" x14ac:dyDescent="0.2">
      <c r="A39" s="14">
        <v>38</v>
      </c>
      <c r="B39" s="14" t="s">
        <v>113</v>
      </c>
      <c r="C39" s="14">
        <v>2021</v>
      </c>
      <c r="D39" s="14" t="s">
        <v>114</v>
      </c>
      <c r="E39" s="14">
        <v>10</v>
      </c>
      <c r="F39" s="14" t="s">
        <v>115</v>
      </c>
      <c r="G39" s="15"/>
      <c r="H39" s="20"/>
      <c r="I39" s="17"/>
      <c r="J39" s="17"/>
      <c r="K39" s="17"/>
      <c r="L39" s="17"/>
      <c r="M39" s="17"/>
      <c r="N39" s="17"/>
      <c r="O39" s="17"/>
      <c r="P39" s="17"/>
      <c r="Q39" s="17"/>
      <c r="R39" s="17"/>
      <c r="S39" s="17"/>
      <c r="T39" s="16"/>
      <c r="U39" s="15"/>
      <c r="V39" s="15"/>
      <c r="W39" s="15"/>
    </row>
    <row r="40" spans="1:23" x14ac:dyDescent="0.2">
      <c r="A40">
        <v>39</v>
      </c>
      <c r="B40" t="s">
        <v>116</v>
      </c>
      <c r="C40">
        <v>2021</v>
      </c>
      <c r="D40" t="s">
        <v>55</v>
      </c>
      <c r="E40">
        <v>11</v>
      </c>
      <c r="F40" t="s">
        <v>117</v>
      </c>
      <c r="G40" s="4">
        <v>614</v>
      </c>
      <c r="H40" s="20"/>
      <c r="I40" s="4"/>
      <c r="J40" s="4"/>
      <c r="K40" s="4"/>
      <c r="L40" s="4"/>
      <c r="M40" s="4"/>
      <c r="N40" s="4"/>
      <c r="O40" s="4">
        <v>0.18892508143322476</v>
      </c>
      <c r="P40" s="4"/>
      <c r="Q40" s="4"/>
      <c r="R40" s="4"/>
      <c r="S40" s="4"/>
      <c r="T40" s="4"/>
      <c r="U40" s="4"/>
      <c r="V40" s="4"/>
      <c r="W40" s="4"/>
    </row>
    <row r="41" spans="1:23" x14ac:dyDescent="0.2">
      <c r="A41">
        <v>40</v>
      </c>
      <c r="B41" t="s">
        <v>118</v>
      </c>
      <c r="C41">
        <v>2021</v>
      </c>
      <c r="D41" t="s">
        <v>119</v>
      </c>
      <c r="E41">
        <v>49</v>
      </c>
      <c r="F41" t="s">
        <v>120</v>
      </c>
      <c r="G41" s="4">
        <v>153</v>
      </c>
      <c r="H41" s="20">
        <v>19</v>
      </c>
      <c r="I41" s="4">
        <v>0.12418300653594772</v>
      </c>
      <c r="J41" s="4"/>
      <c r="K41" s="4"/>
      <c r="L41" s="4"/>
      <c r="M41" s="4"/>
      <c r="N41" s="4"/>
      <c r="O41" s="4">
        <v>0.24836601307189543</v>
      </c>
      <c r="P41" s="4"/>
      <c r="Q41" s="4"/>
      <c r="R41" s="4"/>
      <c r="S41" s="4"/>
      <c r="T41" s="4"/>
      <c r="U41" s="4"/>
      <c r="V41" s="4"/>
      <c r="W41" s="4"/>
    </row>
    <row r="42" spans="1:23" s="14" customFormat="1" x14ac:dyDescent="0.2">
      <c r="A42" s="14">
        <v>41</v>
      </c>
      <c r="B42" s="14" t="s">
        <v>121</v>
      </c>
      <c r="C42" s="14">
        <v>2021</v>
      </c>
      <c r="D42" s="14" t="s">
        <v>122</v>
      </c>
      <c r="E42" s="14">
        <v>10</v>
      </c>
      <c r="F42" s="14" t="s">
        <v>123</v>
      </c>
      <c r="G42" s="15"/>
      <c r="H42" s="20"/>
      <c r="I42" s="15"/>
      <c r="J42" s="15"/>
      <c r="K42" s="15"/>
      <c r="L42" s="15"/>
      <c r="M42" s="15"/>
      <c r="N42" s="15"/>
      <c r="O42" s="15"/>
      <c r="P42" s="15"/>
      <c r="Q42" s="15"/>
      <c r="R42" s="15"/>
      <c r="S42" s="15"/>
      <c r="T42" s="15"/>
      <c r="U42" s="15"/>
      <c r="V42" s="15"/>
      <c r="W42" s="15"/>
    </row>
    <row r="43" spans="1:23" x14ac:dyDescent="0.2">
      <c r="A43">
        <v>42</v>
      </c>
      <c r="B43" t="s">
        <v>124</v>
      </c>
      <c r="C43">
        <v>2021</v>
      </c>
      <c r="D43" t="s">
        <v>125</v>
      </c>
      <c r="E43">
        <v>7</v>
      </c>
      <c r="F43" t="s">
        <v>126</v>
      </c>
      <c r="G43" s="4">
        <v>2124</v>
      </c>
      <c r="H43" s="20">
        <v>452</v>
      </c>
      <c r="I43" s="4">
        <v>0.2128060263653484</v>
      </c>
      <c r="J43" s="4"/>
      <c r="K43" s="4"/>
      <c r="L43" s="4"/>
      <c r="M43" s="4"/>
      <c r="N43" s="4"/>
      <c r="O43" s="4"/>
      <c r="P43" s="4"/>
      <c r="Q43" s="4"/>
      <c r="R43" s="4"/>
      <c r="S43" s="4"/>
      <c r="T43" s="4"/>
      <c r="U43" s="4"/>
      <c r="V43" s="4"/>
      <c r="W43" s="4"/>
    </row>
    <row r="44" spans="1:23" x14ac:dyDescent="0.2">
      <c r="A44">
        <v>43</v>
      </c>
      <c r="B44" t="s">
        <v>127</v>
      </c>
      <c r="C44">
        <v>2021</v>
      </c>
      <c r="D44" t="s">
        <v>128</v>
      </c>
      <c r="E44">
        <v>177</v>
      </c>
      <c r="F44" t="s">
        <v>129</v>
      </c>
      <c r="G44" s="4">
        <v>140</v>
      </c>
      <c r="H44" s="20"/>
      <c r="I44" s="4"/>
      <c r="J44" s="4"/>
      <c r="K44" s="4"/>
      <c r="L44" s="4"/>
      <c r="M44" s="4"/>
      <c r="N44" s="4"/>
      <c r="O44" s="4">
        <v>0.14285714285714285</v>
      </c>
      <c r="P44" s="4"/>
      <c r="Q44" s="4"/>
      <c r="R44" s="4"/>
      <c r="S44" s="4"/>
      <c r="T44" s="4"/>
      <c r="U44" s="4"/>
      <c r="V44" s="4"/>
      <c r="W44" s="4"/>
    </row>
    <row r="45" spans="1:23" x14ac:dyDescent="0.2">
      <c r="A45">
        <v>44</v>
      </c>
      <c r="B45" t="s">
        <v>130</v>
      </c>
      <c r="C45">
        <v>2021</v>
      </c>
      <c r="D45" t="s">
        <v>131</v>
      </c>
      <c r="E45">
        <v>70</v>
      </c>
      <c r="F45" t="s">
        <v>132</v>
      </c>
      <c r="G45" s="4">
        <v>100</v>
      </c>
      <c r="H45" s="20">
        <v>41</v>
      </c>
      <c r="I45" s="4">
        <v>0.41</v>
      </c>
      <c r="J45" s="4"/>
      <c r="K45" s="4"/>
      <c r="L45" s="4"/>
      <c r="M45" s="4"/>
      <c r="N45" s="4"/>
      <c r="O45" s="4"/>
      <c r="P45" s="4"/>
      <c r="Q45" s="4"/>
      <c r="R45" s="4"/>
      <c r="S45" s="4"/>
      <c r="T45" s="4"/>
      <c r="U45" s="4"/>
      <c r="V45" s="4"/>
      <c r="W45" s="4"/>
    </row>
    <row r="46" spans="1:23" x14ac:dyDescent="0.2">
      <c r="A46">
        <v>45</v>
      </c>
      <c r="B46" t="s">
        <v>133</v>
      </c>
      <c r="C46">
        <v>2021</v>
      </c>
      <c r="D46" t="s">
        <v>22</v>
      </c>
      <c r="E46">
        <v>10</v>
      </c>
      <c r="F46" t="s">
        <v>134</v>
      </c>
      <c r="G46" s="4">
        <v>1608</v>
      </c>
      <c r="H46" s="20">
        <v>382</v>
      </c>
      <c r="I46" s="4">
        <v>0.23756218905472637</v>
      </c>
      <c r="J46" s="4"/>
      <c r="K46" s="4"/>
      <c r="L46" s="4"/>
      <c r="M46" s="4"/>
      <c r="N46" s="4"/>
      <c r="O46" s="4"/>
      <c r="P46" s="4"/>
      <c r="Q46" s="4"/>
      <c r="R46" s="4"/>
      <c r="S46" s="4"/>
      <c r="T46" s="4"/>
      <c r="U46" s="4"/>
      <c r="V46" s="4"/>
      <c r="W46" s="4"/>
    </row>
    <row r="47" spans="1:23" x14ac:dyDescent="0.2">
      <c r="A47">
        <v>46</v>
      </c>
      <c r="B47" t="s">
        <v>135</v>
      </c>
      <c r="C47">
        <v>2021</v>
      </c>
      <c r="D47" t="s">
        <v>55</v>
      </c>
      <c r="E47">
        <v>11</v>
      </c>
      <c r="F47" t="s">
        <v>136</v>
      </c>
      <c r="G47" s="4">
        <v>516</v>
      </c>
      <c r="H47" s="20">
        <v>98</v>
      </c>
      <c r="I47" s="4">
        <v>0.18992248062015504</v>
      </c>
      <c r="J47" s="4"/>
      <c r="K47" s="4">
        <v>0.28999999999999998</v>
      </c>
      <c r="L47" s="4">
        <v>0.34</v>
      </c>
      <c r="M47" s="4">
        <v>0.36821705426356588</v>
      </c>
      <c r="N47" s="4"/>
      <c r="O47" s="4">
        <v>0.28488372093023256</v>
      </c>
      <c r="P47" s="4"/>
      <c r="Q47" s="4"/>
      <c r="R47" s="4"/>
      <c r="S47" s="4"/>
      <c r="T47" s="4"/>
      <c r="U47" s="4"/>
      <c r="V47" s="4"/>
      <c r="W47" s="4"/>
    </row>
    <row r="48" spans="1:23" x14ac:dyDescent="0.2">
      <c r="A48">
        <v>47</v>
      </c>
      <c r="B48" t="s">
        <v>137</v>
      </c>
      <c r="C48">
        <v>2021</v>
      </c>
      <c r="D48" t="s">
        <v>138</v>
      </c>
      <c r="E48">
        <v>25</v>
      </c>
      <c r="F48" t="s">
        <v>139</v>
      </c>
      <c r="G48" s="4">
        <v>387</v>
      </c>
      <c r="H48" s="20">
        <v>184</v>
      </c>
      <c r="I48" s="4">
        <v>0.47545219638242892</v>
      </c>
      <c r="J48" s="4">
        <v>0.22997416020671835</v>
      </c>
      <c r="K48" s="4"/>
      <c r="L48" s="4"/>
      <c r="M48" s="4"/>
      <c r="N48" s="4"/>
      <c r="O48" s="4"/>
      <c r="P48" s="4"/>
      <c r="Q48" s="4"/>
      <c r="R48" s="4"/>
      <c r="S48" s="4"/>
      <c r="T48" s="4"/>
      <c r="U48" s="4"/>
      <c r="V48" s="4"/>
      <c r="W48" s="4"/>
    </row>
    <row r="49" spans="1:23" x14ac:dyDescent="0.2">
      <c r="A49">
        <v>48</v>
      </c>
      <c r="B49" t="s">
        <v>140</v>
      </c>
      <c r="C49">
        <v>2021</v>
      </c>
      <c r="D49" t="s">
        <v>141</v>
      </c>
      <c r="E49">
        <v>24</v>
      </c>
      <c r="F49" t="s">
        <v>142</v>
      </c>
      <c r="G49" s="4">
        <v>208</v>
      </c>
      <c r="H49" s="20"/>
      <c r="I49" s="4"/>
      <c r="J49" s="4"/>
      <c r="K49" s="4"/>
      <c r="L49" s="4"/>
      <c r="M49" s="4"/>
      <c r="N49" s="4"/>
      <c r="O49" s="4">
        <v>0.16826923076923078</v>
      </c>
      <c r="P49" s="4"/>
      <c r="Q49" s="4"/>
      <c r="R49" s="4"/>
      <c r="S49" s="4"/>
      <c r="T49" s="4"/>
      <c r="U49" s="4"/>
      <c r="V49" s="4"/>
      <c r="W49" s="4"/>
    </row>
    <row r="50" spans="1:23" x14ac:dyDescent="0.2">
      <c r="A50" s="1">
        <v>49</v>
      </c>
      <c r="B50" t="s">
        <v>143</v>
      </c>
      <c r="C50">
        <v>2021</v>
      </c>
      <c r="D50" t="s">
        <v>144</v>
      </c>
      <c r="E50">
        <v>27</v>
      </c>
      <c r="F50" t="s">
        <v>145</v>
      </c>
      <c r="G50" s="4">
        <v>78</v>
      </c>
      <c r="H50" s="20">
        <v>16</v>
      </c>
      <c r="I50" s="4">
        <v>0.20512820512820512</v>
      </c>
      <c r="J50" s="4"/>
      <c r="K50" s="4">
        <v>0.33333333333333331</v>
      </c>
      <c r="L50" s="4"/>
      <c r="M50" s="4"/>
      <c r="N50" s="4"/>
      <c r="O50" s="4"/>
      <c r="P50" s="4"/>
      <c r="Q50" s="4"/>
      <c r="R50" s="4"/>
      <c r="S50" s="4"/>
      <c r="T50" s="4"/>
      <c r="U50" s="4"/>
      <c r="V50" s="4"/>
      <c r="W50" s="4"/>
    </row>
    <row r="51" spans="1:23" s="14" customFormat="1" x14ac:dyDescent="0.2">
      <c r="A51" s="14">
        <v>50</v>
      </c>
      <c r="B51" s="14" t="s">
        <v>146</v>
      </c>
      <c r="C51" s="14">
        <v>2021</v>
      </c>
      <c r="D51" s="14" t="s">
        <v>147</v>
      </c>
      <c r="E51" s="14">
        <v>58</v>
      </c>
      <c r="F51" s="14" t="s">
        <v>148</v>
      </c>
      <c r="G51" s="15"/>
      <c r="H51" s="20"/>
      <c r="I51" s="15"/>
      <c r="J51" s="15"/>
      <c r="K51" s="15"/>
      <c r="L51" s="15"/>
      <c r="M51" s="15"/>
      <c r="N51" s="15"/>
      <c r="O51" s="15"/>
      <c r="P51" s="15"/>
      <c r="Q51" s="15"/>
      <c r="R51" s="15"/>
      <c r="S51" s="15"/>
      <c r="T51" s="15"/>
      <c r="U51" s="15"/>
      <c r="V51" s="15"/>
      <c r="W51" s="15"/>
    </row>
    <row r="52" spans="1:23" s="14" customFormat="1" x14ac:dyDescent="0.2">
      <c r="A52" s="14">
        <v>51</v>
      </c>
      <c r="B52" s="14" t="s">
        <v>149</v>
      </c>
      <c r="C52" s="14">
        <v>2021</v>
      </c>
      <c r="D52" s="14" t="s">
        <v>147</v>
      </c>
      <c r="E52" s="14">
        <v>58</v>
      </c>
      <c r="F52" s="14" t="s">
        <v>150</v>
      </c>
      <c r="G52" s="15"/>
      <c r="H52" s="20"/>
      <c r="I52" s="15"/>
      <c r="J52" s="15"/>
      <c r="K52" s="15"/>
      <c r="L52" s="15"/>
      <c r="M52" s="15"/>
      <c r="N52" s="15"/>
      <c r="O52" s="15"/>
      <c r="P52" s="15"/>
      <c r="Q52" s="15"/>
      <c r="R52" s="15"/>
      <c r="S52" s="15"/>
      <c r="T52" s="15"/>
      <c r="U52" s="15"/>
      <c r="V52" s="15"/>
      <c r="W52" s="15"/>
    </row>
    <row r="53" spans="1:23" s="10" customFormat="1" x14ac:dyDescent="0.2">
      <c r="A53" s="10">
        <v>52</v>
      </c>
      <c r="B53" s="10" t="s">
        <v>151</v>
      </c>
      <c r="C53" s="10">
        <v>2021</v>
      </c>
      <c r="D53" s="10" t="s">
        <v>131</v>
      </c>
      <c r="E53" s="10">
        <v>70</v>
      </c>
      <c r="F53" s="10" t="s">
        <v>152</v>
      </c>
      <c r="G53" s="11">
        <v>50</v>
      </c>
      <c r="H53" s="20">
        <v>28</v>
      </c>
      <c r="I53" s="11">
        <v>0.56000000000000005</v>
      </c>
      <c r="J53" s="11"/>
      <c r="K53" s="11"/>
      <c r="L53" s="11"/>
      <c r="M53" s="11"/>
      <c r="N53" s="11"/>
      <c r="O53" s="11"/>
      <c r="P53" s="11"/>
      <c r="Q53" s="11"/>
      <c r="R53" s="11"/>
      <c r="S53" s="11"/>
      <c r="T53" s="11"/>
      <c r="U53" s="11"/>
      <c r="V53" s="11"/>
      <c r="W53" s="11"/>
    </row>
    <row r="54" spans="1:23" x14ac:dyDescent="0.2">
      <c r="A54">
        <v>53</v>
      </c>
      <c r="B54" t="s">
        <v>153</v>
      </c>
      <c r="C54">
        <v>2020</v>
      </c>
      <c r="D54" t="s">
        <v>13</v>
      </c>
      <c r="E54">
        <v>119</v>
      </c>
      <c r="F54" t="s">
        <v>154</v>
      </c>
      <c r="G54" s="4">
        <v>66</v>
      </c>
      <c r="H54" s="20">
        <v>20</v>
      </c>
      <c r="I54" s="4">
        <v>0.30303030303030304</v>
      </c>
      <c r="J54" s="4"/>
      <c r="K54" s="4"/>
      <c r="L54" s="4"/>
      <c r="M54" s="4"/>
      <c r="N54" s="4"/>
      <c r="O54" s="4">
        <v>0.33333333333333331</v>
      </c>
      <c r="P54" s="4"/>
      <c r="Q54" s="4"/>
      <c r="R54" s="4"/>
      <c r="S54" s="4"/>
      <c r="T54" s="4"/>
      <c r="U54" s="4"/>
      <c r="V54" s="4"/>
      <c r="W54" s="4"/>
    </row>
    <row r="55" spans="1:23" x14ac:dyDescent="0.2">
      <c r="A55" s="1">
        <v>54</v>
      </c>
      <c r="B55" t="s">
        <v>155</v>
      </c>
      <c r="C55">
        <v>2020</v>
      </c>
      <c r="D55" t="s">
        <v>156</v>
      </c>
      <c r="E55">
        <v>35</v>
      </c>
      <c r="F55" t="s">
        <v>157</v>
      </c>
      <c r="G55" s="4">
        <v>160</v>
      </c>
      <c r="H55" s="20"/>
      <c r="I55" s="4"/>
      <c r="J55" s="4"/>
      <c r="K55" s="4"/>
      <c r="L55" s="4"/>
      <c r="M55" s="4"/>
      <c r="N55" s="4"/>
      <c r="O55" s="4"/>
      <c r="P55" s="4"/>
      <c r="Q55" s="4"/>
      <c r="R55" s="4"/>
      <c r="S55" s="4"/>
      <c r="T55" s="4"/>
      <c r="U55" s="4"/>
      <c r="V55" s="4"/>
      <c r="W55" s="4"/>
    </row>
    <row r="56" spans="1:23" x14ac:dyDescent="0.2">
      <c r="A56">
        <v>55</v>
      </c>
      <c r="B56" t="s">
        <v>158</v>
      </c>
      <c r="C56">
        <v>2020</v>
      </c>
      <c r="D56" t="s">
        <v>159</v>
      </c>
      <c r="E56">
        <v>9</v>
      </c>
      <c r="F56" t="s">
        <v>160</v>
      </c>
      <c r="G56" s="4">
        <v>81</v>
      </c>
      <c r="H56" s="20">
        <v>16</v>
      </c>
      <c r="I56" s="4">
        <v>0.19753086419753085</v>
      </c>
      <c r="J56" s="4"/>
      <c r="K56" s="4"/>
      <c r="L56" s="4"/>
      <c r="M56" s="4"/>
      <c r="N56" s="4"/>
      <c r="O56" s="4">
        <v>0.22222222222222221</v>
      </c>
      <c r="P56" s="4"/>
      <c r="Q56" s="4"/>
      <c r="R56" s="4"/>
      <c r="S56" s="4"/>
      <c r="T56" s="4"/>
      <c r="U56" s="4"/>
      <c r="V56" s="4"/>
      <c r="W56" s="4"/>
    </row>
    <row r="57" spans="1:23" s="10" customFormat="1" x14ac:dyDescent="0.2">
      <c r="A57" s="10">
        <v>56</v>
      </c>
      <c r="B57" s="10" t="s">
        <v>161</v>
      </c>
      <c r="C57" s="10">
        <v>2020</v>
      </c>
      <c r="D57" s="10" t="s">
        <v>162</v>
      </c>
      <c r="E57" s="10">
        <v>15</v>
      </c>
      <c r="F57" s="10" t="s">
        <v>163</v>
      </c>
      <c r="G57" s="11"/>
      <c r="H57" s="20"/>
      <c r="I57" s="11"/>
      <c r="J57" s="11"/>
      <c r="K57" s="11"/>
      <c r="L57" s="11"/>
      <c r="M57" s="11"/>
      <c r="N57" s="11"/>
      <c r="O57" s="11"/>
      <c r="P57" s="11"/>
      <c r="Q57" s="11"/>
      <c r="R57" s="11"/>
      <c r="S57" s="11"/>
      <c r="T57" s="11"/>
      <c r="U57" s="11"/>
      <c r="V57" s="11"/>
      <c r="W57" s="11"/>
    </row>
    <row r="58" spans="1:23" s="14" customFormat="1" x14ac:dyDescent="0.2">
      <c r="A58" s="14">
        <v>57</v>
      </c>
      <c r="B58" s="14" t="s">
        <v>164</v>
      </c>
      <c r="C58" s="14">
        <v>2019</v>
      </c>
      <c r="D58" s="14" t="s">
        <v>165</v>
      </c>
      <c r="E58" s="14">
        <v>117</v>
      </c>
      <c r="F58" s="14" t="s">
        <v>166</v>
      </c>
      <c r="G58" s="15"/>
      <c r="H58" s="20"/>
      <c r="I58" s="15" t="s">
        <v>560</v>
      </c>
      <c r="J58" s="15"/>
      <c r="K58" s="15"/>
      <c r="L58" s="15"/>
      <c r="M58" s="15"/>
      <c r="N58" s="15"/>
      <c r="O58" s="15"/>
      <c r="P58" s="15"/>
      <c r="Q58" s="15"/>
      <c r="R58" s="15"/>
      <c r="S58" s="15"/>
      <c r="T58" s="15"/>
      <c r="U58" s="15"/>
      <c r="V58" s="15"/>
      <c r="W58" s="15"/>
    </row>
    <row r="59" spans="1:23" x14ac:dyDescent="0.2">
      <c r="A59" s="1">
        <v>58</v>
      </c>
      <c r="B59" t="s">
        <v>167</v>
      </c>
      <c r="C59">
        <v>2019</v>
      </c>
      <c r="D59" t="s">
        <v>10</v>
      </c>
      <c r="E59">
        <v>50</v>
      </c>
      <c r="F59" t="s">
        <v>168</v>
      </c>
      <c r="G59" s="4">
        <v>802</v>
      </c>
      <c r="H59" s="20">
        <v>448</v>
      </c>
      <c r="I59" s="4">
        <v>0.55860349127182041</v>
      </c>
      <c r="J59" s="4"/>
      <c r="K59" s="4"/>
      <c r="L59" s="4"/>
      <c r="M59" s="4"/>
      <c r="N59" s="4"/>
      <c r="O59" s="4">
        <v>0.6645885286783042</v>
      </c>
      <c r="P59" s="4"/>
      <c r="Q59" s="4"/>
      <c r="R59" s="4"/>
      <c r="S59" s="4"/>
      <c r="T59" s="4"/>
      <c r="U59" s="4"/>
      <c r="V59" s="4"/>
      <c r="W59" s="4"/>
    </row>
    <row r="60" spans="1:23" x14ac:dyDescent="0.2">
      <c r="A60">
        <v>59</v>
      </c>
      <c r="B60" t="s">
        <v>169</v>
      </c>
      <c r="C60">
        <v>2019</v>
      </c>
      <c r="D60" t="s">
        <v>170</v>
      </c>
      <c r="E60">
        <v>14</v>
      </c>
      <c r="F60" t="s">
        <v>171</v>
      </c>
      <c r="G60" s="4">
        <v>62</v>
      </c>
      <c r="H60" s="20"/>
      <c r="I60" s="4"/>
      <c r="J60" s="4">
        <v>0.16129032258064516</v>
      </c>
      <c r="K60" s="4"/>
      <c r="L60" s="4"/>
      <c r="M60" s="4"/>
      <c r="N60" s="4"/>
      <c r="O60" s="4">
        <v>0.32258064516129031</v>
      </c>
      <c r="P60" s="4"/>
      <c r="Q60" s="4"/>
      <c r="R60" s="4"/>
      <c r="S60" s="4"/>
      <c r="T60" s="4"/>
      <c r="U60" s="4"/>
      <c r="V60" s="4"/>
      <c r="W60" s="4"/>
    </row>
    <row r="61" spans="1:23" x14ac:dyDescent="0.2">
      <c r="A61">
        <v>60</v>
      </c>
      <c r="B61" t="s">
        <v>172</v>
      </c>
      <c r="C61">
        <v>2018</v>
      </c>
      <c r="D61" t="s">
        <v>173</v>
      </c>
      <c r="E61">
        <v>18</v>
      </c>
      <c r="F61" t="s">
        <v>174</v>
      </c>
      <c r="G61" s="4">
        <v>117</v>
      </c>
      <c r="H61" s="20">
        <v>16</v>
      </c>
      <c r="I61" s="4">
        <v>0.13675213675213677</v>
      </c>
      <c r="J61" s="4"/>
      <c r="K61" s="4"/>
      <c r="L61" s="4"/>
      <c r="M61" s="4"/>
      <c r="N61" s="4"/>
      <c r="O61" s="4"/>
      <c r="P61" s="4"/>
      <c r="Q61" s="4"/>
      <c r="R61" s="4"/>
      <c r="S61" s="4"/>
      <c r="T61" s="4"/>
      <c r="U61" s="4"/>
      <c r="V61" s="4"/>
      <c r="W61" s="4"/>
    </row>
    <row r="62" spans="1:23" x14ac:dyDescent="0.2">
      <c r="A62" s="1">
        <v>61</v>
      </c>
      <c r="B62" t="s">
        <v>175</v>
      </c>
      <c r="C62">
        <v>2018</v>
      </c>
      <c r="D62" t="s">
        <v>176</v>
      </c>
      <c r="E62">
        <v>44</v>
      </c>
      <c r="F62" t="s">
        <v>177</v>
      </c>
      <c r="G62" s="4">
        <v>1846</v>
      </c>
      <c r="H62" s="20"/>
      <c r="I62" s="4"/>
      <c r="J62" s="4"/>
      <c r="K62" s="4"/>
      <c r="L62" s="4"/>
      <c r="M62" s="4"/>
      <c r="N62" s="4"/>
      <c r="O62" s="4"/>
      <c r="P62" s="4"/>
      <c r="Q62" s="4"/>
      <c r="R62" s="4"/>
      <c r="S62" s="4"/>
      <c r="T62" s="4"/>
      <c r="U62" s="4"/>
      <c r="V62" s="4"/>
      <c r="W62" s="4"/>
    </row>
    <row r="63" spans="1:23" s="10" customFormat="1" x14ac:dyDescent="0.2">
      <c r="A63" s="10">
        <v>62</v>
      </c>
      <c r="B63" s="10" t="s">
        <v>178</v>
      </c>
      <c r="C63" s="10">
        <v>2018</v>
      </c>
      <c r="D63" s="10" t="s">
        <v>176</v>
      </c>
      <c r="E63" s="10">
        <v>44</v>
      </c>
      <c r="F63" s="10" t="s">
        <v>179</v>
      </c>
      <c r="G63" s="11">
        <v>160</v>
      </c>
      <c r="H63" s="20"/>
      <c r="I63" s="11"/>
      <c r="J63" s="11">
        <v>0.25</v>
      </c>
      <c r="K63" s="11"/>
      <c r="L63" s="11"/>
      <c r="M63" s="11"/>
      <c r="N63" s="11"/>
      <c r="O63" s="11"/>
      <c r="P63" s="11"/>
      <c r="Q63" s="11"/>
      <c r="R63" s="11"/>
      <c r="S63" s="11"/>
      <c r="T63" s="11"/>
      <c r="U63" s="11"/>
      <c r="V63" s="11"/>
      <c r="W63" s="11"/>
    </row>
    <row r="64" spans="1:23" x14ac:dyDescent="0.2">
      <c r="A64" s="1">
        <v>63</v>
      </c>
      <c r="B64" t="s">
        <v>180</v>
      </c>
      <c r="C64">
        <v>2018</v>
      </c>
      <c r="D64" t="s">
        <v>176</v>
      </c>
      <c r="E64">
        <v>44</v>
      </c>
      <c r="F64" t="s">
        <v>181</v>
      </c>
      <c r="G64" s="4">
        <v>614</v>
      </c>
      <c r="H64" s="20"/>
      <c r="I64" s="4"/>
      <c r="J64" s="4"/>
      <c r="K64" s="4"/>
      <c r="L64" s="4"/>
      <c r="M64" s="4"/>
      <c r="N64" s="4"/>
      <c r="O64" s="4"/>
      <c r="P64" s="4"/>
      <c r="Q64" s="4"/>
      <c r="R64" s="4"/>
      <c r="S64" s="4"/>
      <c r="T64" s="4"/>
      <c r="U64" s="4"/>
      <c r="V64" s="4"/>
      <c r="W64" s="4"/>
    </row>
    <row r="65" spans="1:23" s="14" customFormat="1" x14ac:dyDescent="0.2">
      <c r="A65" s="14">
        <v>64</v>
      </c>
      <c r="B65" s="14" t="s">
        <v>182</v>
      </c>
      <c r="C65" s="14">
        <v>2018</v>
      </c>
      <c r="D65" s="14" t="s">
        <v>183</v>
      </c>
      <c r="E65" s="14">
        <v>197</v>
      </c>
      <c r="F65" s="14" t="s">
        <v>184</v>
      </c>
      <c r="G65" s="15"/>
      <c r="H65" s="15" t="s">
        <v>562</v>
      </c>
      <c r="I65" s="15"/>
      <c r="J65" s="15"/>
      <c r="K65" s="15"/>
      <c r="L65" s="15"/>
      <c r="M65" s="15"/>
      <c r="N65" s="15"/>
      <c r="O65" s="15"/>
      <c r="P65" s="15"/>
      <c r="Q65" s="15"/>
      <c r="R65" s="15"/>
      <c r="S65" s="15"/>
      <c r="T65" s="15"/>
      <c r="U65" s="15"/>
      <c r="V65" s="15"/>
      <c r="W65" s="15"/>
    </row>
    <row r="66" spans="1:23" s="14" customFormat="1" x14ac:dyDescent="0.2">
      <c r="A66" s="14">
        <v>65</v>
      </c>
      <c r="B66" s="14" t="s">
        <v>185</v>
      </c>
      <c r="C66" s="14">
        <v>2018</v>
      </c>
      <c r="D66" s="14" t="s">
        <v>55</v>
      </c>
      <c r="E66" s="14">
        <v>8</v>
      </c>
      <c r="F66" s="14" t="s">
        <v>186</v>
      </c>
      <c r="G66" s="15"/>
      <c r="H66" s="15" t="s">
        <v>562</v>
      </c>
      <c r="I66" s="15"/>
      <c r="J66" s="15"/>
      <c r="K66" s="15"/>
      <c r="L66" s="15"/>
      <c r="M66" s="15"/>
      <c r="N66" s="15"/>
      <c r="O66" s="15"/>
      <c r="P66" s="15"/>
      <c r="Q66" s="15"/>
      <c r="R66" s="15"/>
      <c r="S66" s="15"/>
      <c r="T66" s="15"/>
      <c r="U66" s="15"/>
      <c r="V66" s="15"/>
      <c r="W66" s="15"/>
    </row>
    <row r="67" spans="1:23" s="14" customFormat="1" x14ac:dyDescent="0.2">
      <c r="A67" s="14">
        <v>66</v>
      </c>
      <c r="B67" s="14" t="s">
        <v>187</v>
      </c>
      <c r="C67" s="14">
        <v>2018</v>
      </c>
      <c r="D67" s="14" t="s">
        <v>183</v>
      </c>
      <c r="E67" s="14">
        <v>197</v>
      </c>
      <c r="F67" s="14" t="s">
        <v>188</v>
      </c>
      <c r="G67" s="15"/>
      <c r="H67" s="15" t="s">
        <v>562</v>
      </c>
      <c r="I67" s="15"/>
      <c r="J67" s="15"/>
      <c r="K67" s="15"/>
      <c r="L67" s="15"/>
      <c r="M67" s="15"/>
      <c r="N67" s="15"/>
      <c r="O67" s="15"/>
      <c r="P67" s="15"/>
      <c r="Q67" s="15"/>
      <c r="R67" s="15"/>
      <c r="S67" s="15"/>
      <c r="T67" s="15"/>
      <c r="U67" s="15"/>
      <c r="V67" s="15"/>
      <c r="W67" s="15"/>
    </row>
    <row r="68" spans="1:23" x14ac:dyDescent="0.2">
      <c r="A68" s="1">
        <v>67</v>
      </c>
      <c r="B68" t="s">
        <v>189</v>
      </c>
      <c r="C68">
        <v>2018</v>
      </c>
      <c r="D68" t="s">
        <v>190</v>
      </c>
      <c r="E68">
        <v>51</v>
      </c>
      <c r="F68" t="s">
        <v>191</v>
      </c>
      <c r="G68" s="4">
        <v>148</v>
      </c>
      <c r="H68" s="20"/>
      <c r="I68" s="4"/>
      <c r="J68" s="4"/>
      <c r="K68" s="4"/>
      <c r="L68" s="4"/>
      <c r="M68" s="4"/>
      <c r="N68" s="4"/>
      <c r="O68" s="4">
        <v>0.18243243243243243</v>
      </c>
      <c r="P68" s="4"/>
      <c r="Q68" s="4"/>
      <c r="R68" s="4"/>
      <c r="S68" s="4"/>
      <c r="T68" s="4"/>
      <c r="U68" s="4"/>
      <c r="V68" s="4"/>
      <c r="W68" s="4"/>
    </row>
    <row r="69" spans="1:23" x14ac:dyDescent="0.2">
      <c r="A69" s="1">
        <v>68</v>
      </c>
      <c r="B69" t="s">
        <v>192</v>
      </c>
      <c r="C69">
        <v>2018</v>
      </c>
      <c r="D69" t="s">
        <v>193</v>
      </c>
      <c r="E69">
        <v>43</v>
      </c>
      <c r="F69" t="s">
        <v>194</v>
      </c>
      <c r="G69" s="4">
        <v>502</v>
      </c>
      <c r="H69" s="20"/>
      <c r="I69" s="4"/>
      <c r="J69" s="4"/>
      <c r="K69" s="4"/>
      <c r="L69" s="4"/>
      <c r="M69" s="4"/>
      <c r="N69" s="4">
        <v>0.35</v>
      </c>
      <c r="O69" s="4">
        <v>0.34063745019920316</v>
      </c>
      <c r="P69" s="4"/>
      <c r="Q69" s="4"/>
      <c r="R69" s="4"/>
      <c r="S69" s="4"/>
      <c r="T69" s="4"/>
      <c r="U69" s="4"/>
      <c r="V69" s="4"/>
      <c r="W69" s="4"/>
    </row>
    <row r="70" spans="1:23" s="14" customFormat="1" x14ac:dyDescent="0.2">
      <c r="A70" s="14">
        <v>69</v>
      </c>
      <c r="B70" s="14" t="s">
        <v>195</v>
      </c>
      <c r="C70" s="14">
        <v>2017</v>
      </c>
      <c r="D70" s="14" t="s">
        <v>147</v>
      </c>
      <c r="E70" s="14">
        <v>50</v>
      </c>
      <c r="F70" s="14" t="s">
        <v>196</v>
      </c>
      <c r="G70" s="15"/>
      <c r="H70" s="15" t="s">
        <v>562</v>
      </c>
      <c r="I70" s="15"/>
      <c r="J70" s="15"/>
      <c r="K70" s="15"/>
      <c r="L70" s="15"/>
      <c r="M70" s="15"/>
      <c r="N70" s="15"/>
      <c r="O70" s="15"/>
      <c r="P70" s="15"/>
      <c r="Q70" s="15"/>
      <c r="R70" s="15"/>
      <c r="S70" s="15"/>
      <c r="T70" s="15"/>
      <c r="U70" s="15"/>
      <c r="V70" s="15"/>
      <c r="W70" s="15"/>
    </row>
    <row r="71" spans="1:23" s="14" customFormat="1" x14ac:dyDescent="0.2">
      <c r="A71" s="14">
        <v>70</v>
      </c>
      <c r="B71" s="14" t="s">
        <v>197</v>
      </c>
      <c r="C71" s="14">
        <v>2017</v>
      </c>
      <c r="D71" s="14" t="s">
        <v>138</v>
      </c>
      <c r="E71" s="14">
        <v>21</v>
      </c>
      <c r="F71" s="14" t="s">
        <v>198</v>
      </c>
      <c r="G71" s="15"/>
      <c r="H71" s="15" t="s">
        <v>562</v>
      </c>
      <c r="I71" s="15"/>
      <c r="J71" s="15"/>
      <c r="K71" s="15"/>
      <c r="L71" s="15"/>
      <c r="M71" s="15"/>
      <c r="N71" s="15"/>
      <c r="O71" s="15"/>
      <c r="P71" s="15"/>
      <c r="Q71" s="15"/>
      <c r="R71" s="15"/>
      <c r="S71" s="15"/>
      <c r="T71" s="15"/>
      <c r="U71" s="15"/>
      <c r="V71" s="15"/>
      <c r="W71" s="15"/>
    </row>
    <row r="72" spans="1:23" s="14" customFormat="1" x14ac:dyDescent="0.2">
      <c r="A72" s="14">
        <v>71</v>
      </c>
      <c r="B72" s="14" t="s">
        <v>199</v>
      </c>
      <c r="C72" s="14">
        <v>2017</v>
      </c>
      <c r="D72" s="14" t="s">
        <v>55</v>
      </c>
      <c r="E72" s="14">
        <v>7</v>
      </c>
      <c r="F72" s="14" t="s">
        <v>200</v>
      </c>
      <c r="G72" s="15"/>
      <c r="H72" s="15" t="s">
        <v>562</v>
      </c>
      <c r="I72" s="15"/>
      <c r="J72" s="15"/>
      <c r="K72" s="15"/>
      <c r="L72" s="15"/>
      <c r="M72" s="15"/>
      <c r="N72" s="15"/>
      <c r="O72" s="15"/>
      <c r="P72" s="15"/>
      <c r="Q72" s="15"/>
      <c r="R72" s="15"/>
      <c r="S72" s="15"/>
      <c r="T72" s="15"/>
      <c r="U72" s="15"/>
      <c r="V72" s="15"/>
      <c r="W72" s="15"/>
    </row>
    <row r="73" spans="1:23" x14ac:dyDescent="0.2">
      <c r="A73" s="1">
        <v>72</v>
      </c>
      <c r="B73" t="s">
        <v>201</v>
      </c>
      <c r="C73">
        <v>2017</v>
      </c>
      <c r="D73" t="s">
        <v>202</v>
      </c>
      <c r="E73">
        <v>36</v>
      </c>
      <c r="F73" t="s">
        <v>203</v>
      </c>
      <c r="G73" s="4"/>
      <c r="H73" s="20"/>
      <c r="I73" s="4"/>
      <c r="J73" s="4"/>
      <c r="K73" s="4"/>
      <c r="L73" s="4"/>
      <c r="M73" s="4"/>
      <c r="N73" s="4"/>
      <c r="O73" s="4">
        <v>0.26865671641791045</v>
      </c>
      <c r="P73" s="4"/>
      <c r="Q73" s="4"/>
      <c r="R73" s="4"/>
      <c r="S73" s="4"/>
      <c r="T73" s="4"/>
      <c r="U73" s="4"/>
      <c r="V73" s="4"/>
      <c r="W73" s="4"/>
    </row>
    <row r="74" spans="1:23" x14ac:dyDescent="0.2">
      <c r="A74">
        <v>73</v>
      </c>
      <c r="B74" t="s">
        <v>204</v>
      </c>
      <c r="C74">
        <v>2017</v>
      </c>
      <c r="D74" t="s">
        <v>205</v>
      </c>
      <c r="E74">
        <v>2</v>
      </c>
      <c r="F74" t="s">
        <v>206</v>
      </c>
      <c r="G74" s="4">
        <v>67</v>
      </c>
      <c r="H74" s="20">
        <v>54</v>
      </c>
      <c r="I74" s="4">
        <v>0.25592417061611372</v>
      </c>
      <c r="J74" s="4"/>
      <c r="K74" s="4"/>
      <c r="L74" s="4"/>
      <c r="M74" s="4"/>
      <c r="N74" s="4"/>
      <c r="O74" s="4"/>
      <c r="P74" s="4"/>
      <c r="Q74" s="4"/>
      <c r="R74" s="4"/>
      <c r="S74" s="4"/>
      <c r="T74" s="4"/>
      <c r="U74" s="4"/>
      <c r="V74" s="4"/>
      <c r="W74" s="4"/>
    </row>
    <row r="75" spans="1:23" x14ac:dyDescent="0.2">
      <c r="A75">
        <v>74</v>
      </c>
      <c r="B75" t="s">
        <v>207</v>
      </c>
      <c r="C75">
        <v>2017</v>
      </c>
      <c r="D75" t="s">
        <v>208</v>
      </c>
      <c r="E75">
        <v>72</v>
      </c>
      <c r="F75" t="s">
        <v>209</v>
      </c>
      <c r="G75" s="4">
        <v>211</v>
      </c>
      <c r="H75" s="20"/>
      <c r="I75" s="4"/>
      <c r="J75" s="4"/>
      <c r="K75" s="4"/>
      <c r="L75" s="4"/>
      <c r="M75" s="4"/>
      <c r="N75" s="4"/>
      <c r="O75" s="4"/>
      <c r="P75" s="4"/>
      <c r="Q75" s="4"/>
      <c r="R75" s="4"/>
      <c r="S75" s="4"/>
      <c r="T75" s="4"/>
      <c r="U75" s="4"/>
      <c r="V75" s="4"/>
      <c r="W75" s="4"/>
    </row>
    <row r="76" spans="1:23" x14ac:dyDescent="0.2">
      <c r="A76" s="1">
        <v>75</v>
      </c>
      <c r="B76" t="s">
        <v>210</v>
      </c>
      <c r="C76">
        <v>2016</v>
      </c>
      <c r="D76" t="s">
        <v>211</v>
      </c>
      <c r="E76">
        <v>92</v>
      </c>
      <c r="F76" t="s">
        <v>212</v>
      </c>
      <c r="G76" s="4">
        <v>100</v>
      </c>
      <c r="H76" s="20"/>
      <c r="I76" s="4"/>
      <c r="J76" s="4"/>
      <c r="K76" s="4"/>
      <c r="L76" s="4"/>
      <c r="M76" s="4"/>
      <c r="N76" s="4"/>
      <c r="O76" s="4"/>
      <c r="P76" s="4"/>
      <c r="Q76" s="4"/>
      <c r="R76" s="4"/>
      <c r="S76" s="4"/>
      <c r="T76" s="4"/>
      <c r="U76" s="4"/>
      <c r="V76" s="4"/>
      <c r="W76" s="4"/>
    </row>
    <row r="77" spans="1:23" x14ac:dyDescent="0.2">
      <c r="A77">
        <v>76</v>
      </c>
      <c r="B77" t="s">
        <v>213</v>
      </c>
      <c r="C77">
        <v>2016</v>
      </c>
      <c r="D77" t="s">
        <v>131</v>
      </c>
      <c r="E77">
        <v>65</v>
      </c>
      <c r="F77" t="s">
        <v>214</v>
      </c>
      <c r="G77" s="4">
        <v>54</v>
      </c>
      <c r="H77" s="20"/>
      <c r="I77" s="4"/>
      <c r="J77" s="4"/>
      <c r="K77" s="4"/>
      <c r="L77" s="4"/>
      <c r="M77" s="4"/>
      <c r="N77" s="4"/>
      <c r="O77" s="4">
        <v>0.2407</v>
      </c>
      <c r="P77" s="4"/>
      <c r="Q77" s="4"/>
      <c r="R77" s="4"/>
      <c r="S77" s="4"/>
      <c r="T77" s="4"/>
      <c r="U77" s="4"/>
      <c r="V77" s="4"/>
      <c r="W77" s="4"/>
    </row>
    <row r="78" spans="1:23" x14ac:dyDescent="0.2">
      <c r="A78">
        <v>77</v>
      </c>
      <c r="B78" t="s">
        <v>215</v>
      </c>
      <c r="C78">
        <v>2016</v>
      </c>
      <c r="D78" t="s">
        <v>216</v>
      </c>
      <c r="E78">
        <v>40</v>
      </c>
      <c r="F78" t="s">
        <v>217</v>
      </c>
      <c r="G78" s="4">
        <v>458</v>
      </c>
      <c r="H78" s="20">
        <v>115</v>
      </c>
      <c r="I78" s="4">
        <v>0.25109170305676853</v>
      </c>
      <c r="J78" s="4"/>
      <c r="K78" s="4"/>
      <c r="L78" s="4"/>
      <c r="M78" s="4"/>
      <c r="N78" s="4"/>
      <c r="O78" s="4"/>
      <c r="P78" s="4"/>
      <c r="Q78" s="4"/>
      <c r="R78" s="4"/>
      <c r="S78" s="4"/>
      <c r="T78" s="4"/>
      <c r="U78" s="4"/>
      <c r="V78" s="4"/>
      <c r="W78" s="4"/>
    </row>
    <row r="79" spans="1:23" x14ac:dyDescent="0.2">
      <c r="A79">
        <v>78</v>
      </c>
      <c r="B79" t="s">
        <v>218</v>
      </c>
      <c r="C79">
        <v>2015</v>
      </c>
      <c r="D79" t="s">
        <v>219</v>
      </c>
      <c r="E79">
        <v>19</v>
      </c>
      <c r="F79" t="s">
        <v>220</v>
      </c>
      <c r="G79" s="4">
        <v>144</v>
      </c>
      <c r="H79" s="20">
        <v>37</v>
      </c>
      <c r="I79" s="4">
        <v>0.25694444444444442</v>
      </c>
      <c r="J79" s="4"/>
      <c r="K79" s="4"/>
      <c r="L79" s="4"/>
      <c r="M79" s="4"/>
      <c r="N79" s="4"/>
      <c r="O79" s="4"/>
      <c r="P79" s="4"/>
      <c r="Q79" s="4"/>
      <c r="R79" s="4"/>
      <c r="S79" s="4"/>
      <c r="T79" s="4"/>
      <c r="U79" s="4"/>
      <c r="V79" s="4"/>
      <c r="W79" s="4"/>
    </row>
    <row r="80" spans="1:23" x14ac:dyDescent="0.2">
      <c r="A80">
        <v>79</v>
      </c>
      <c r="B80" t="s">
        <v>221</v>
      </c>
      <c r="C80">
        <v>2015</v>
      </c>
      <c r="D80" t="s">
        <v>37</v>
      </c>
      <c r="E80">
        <v>109</v>
      </c>
      <c r="F80" t="s">
        <v>222</v>
      </c>
      <c r="G80" s="4">
        <v>800</v>
      </c>
      <c r="H80" s="20"/>
      <c r="I80" s="4"/>
      <c r="J80" s="4"/>
      <c r="K80" s="4"/>
      <c r="L80" s="4"/>
      <c r="M80" s="4"/>
      <c r="N80" s="4"/>
      <c r="O80" s="4">
        <v>0.21029999999999999</v>
      </c>
      <c r="P80" s="4"/>
      <c r="Q80" s="4"/>
      <c r="R80" s="4"/>
      <c r="S80" s="4"/>
      <c r="T80" s="4"/>
      <c r="U80" s="4"/>
      <c r="V80" s="4"/>
      <c r="W80" s="4"/>
    </row>
    <row r="81" spans="1:23" x14ac:dyDescent="0.2">
      <c r="A81">
        <v>80</v>
      </c>
      <c r="B81" t="s">
        <v>223</v>
      </c>
      <c r="C81">
        <v>2015</v>
      </c>
      <c r="D81" t="s">
        <v>224</v>
      </c>
      <c r="E81">
        <v>10</v>
      </c>
      <c r="F81" t="s">
        <v>225</v>
      </c>
      <c r="G81" s="4">
        <v>325</v>
      </c>
      <c r="H81" s="20">
        <v>149</v>
      </c>
      <c r="I81" s="4">
        <v>0.45846153846153848</v>
      </c>
      <c r="J81" s="4"/>
      <c r="K81" s="4"/>
      <c r="L81" s="4"/>
      <c r="M81" s="4"/>
      <c r="N81" s="4"/>
      <c r="O81" s="4">
        <v>0.64923076923076928</v>
      </c>
      <c r="P81" s="4"/>
      <c r="Q81" s="4"/>
      <c r="R81" s="4"/>
      <c r="S81" s="4"/>
      <c r="T81" s="4"/>
      <c r="U81" s="4"/>
      <c r="V81" s="4"/>
      <c r="W81" s="4"/>
    </row>
    <row r="82" spans="1:23" x14ac:dyDescent="0.2">
      <c r="A82">
        <v>81</v>
      </c>
      <c r="B82" t="s">
        <v>226</v>
      </c>
      <c r="C82">
        <v>2015</v>
      </c>
      <c r="D82" t="s">
        <v>227</v>
      </c>
      <c r="E82">
        <v>43</v>
      </c>
      <c r="F82" t="s">
        <v>228</v>
      </c>
      <c r="G82" s="4">
        <v>77</v>
      </c>
      <c r="H82" s="20"/>
      <c r="I82" s="4"/>
      <c r="J82" s="4"/>
      <c r="K82" s="4"/>
      <c r="L82" s="4"/>
      <c r="M82" s="4"/>
      <c r="N82" s="4"/>
      <c r="O82" s="4">
        <v>0.15584415584415584</v>
      </c>
      <c r="P82" s="4"/>
      <c r="Q82" s="4"/>
      <c r="R82" s="4"/>
      <c r="S82" s="4"/>
      <c r="T82" s="4"/>
      <c r="U82" s="4"/>
      <c r="V82" s="4"/>
      <c r="W82" s="4"/>
    </row>
    <row r="83" spans="1:23" x14ac:dyDescent="0.2">
      <c r="A83" s="1">
        <v>82</v>
      </c>
      <c r="B83" t="s">
        <v>229</v>
      </c>
      <c r="C83">
        <v>2015</v>
      </c>
      <c r="D83" t="s">
        <v>230</v>
      </c>
      <c r="E83">
        <v>30</v>
      </c>
      <c r="F83" t="s">
        <v>231</v>
      </c>
      <c r="G83" s="4">
        <v>209</v>
      </c>
      <c r="H83" s="20"/>
      <c r="I83" s="4"/>
      <c r="J83" s="4"/>
      <c r="K83" s="4"/>
      <c r="L83" s="4"/>
      <c r="M83" s="4"/>
      <c r="N83" s="4"/>
      <c r="O83" s="4">
        <v>0.36842105263157893</v>
      </c>
      <c r="P83" s="4"/>
      <c r="Q83" s="4"/>
      <c r="R83" s="4"/>
      <c r="S83" s="4"/>
      <c r="T83" s="4"/>
      <c r="U83" s="4"/>
      <c r="V83" s="4"/>
      <c r="W83" s="4"/>
    </row>
    <row r="84" spans="1:23" s="14" customFormat="1" x14ac:dyDescent="0.2">
      <c r="A84" s="14">
        <v>83</v>
      </c>
      <c r="B84" s="14" t="s">
        <v>232</v>
      </c>
      <c r="C84" s="14">
        <v>2015</v>
      </c>
      <c r="D84" s="14" t="s">
        <v>183</v>
      </c>
      <c r="E84" s="14">
        <v>191</v>
      </c>
      <c r="F84" s="14" t="s">
        <v>233</v>
      </c>
      <c r="G84" s="15"/>
      <c r="H84" s="15" t="s">
        <v>563</v>
      </c>
      <c r="I84" s="15"/>
      <c r="J84" s="15"/>
      <c r="K84" s="15"/>
      <c r="L84" s="15"/>
      <c r="M84" s="15"/>
      <c r="N84" s="15"/>
      <c r="O84" s="15"/>
      <c r="P84" s="15"/>
      <c r="Q84" s="15"/>
      <c r="R84" s="15"/>
      <c r="S84" s="15"/>
      <c r="T84" s="15"/>
      <c r="U84" s="15"/>
      <c r="V84" s="15"/>
      <c r="W84" s="15"/>
    </row>
    <row r="85" spans="1:23" x14ac:dyDescent="0.2">
      <c r="A85">
        <v>84</v>
      </c>
      <c r="B85" t="s">
        <v>234</v>
      </c>
      <c r="C85">
        <v>2014</v>
      </c>
      <c r="D85" t="s">
        <v>138</v>
      </c>
      <c r="E85">
        <v>18</v>
      </c>
      <c r="F85" t="s">
        <v>235</v>
      </c>
      <c r="G85" s="4">
        <v>1166</v>
      </c>
      <c r="H85" s="18">
        <v>222</v>
      </c>
      <c r="I85" s="4">
        <v>0.19039451114922812</v>
      </c>
      <c r="J85" s="4">
        <v>0.1732418524871355</v>
      </c>
      <c r="K85" s="4"/>
      <c r="L85" s="4"/>
      <c r="M85" s="4"/>
      <c r="N85" s="4">
        <v>0.27101200686106347</v>
      </c>
      <c r="O85" s="4">
        <v>0.24442538593481991</v>
      </c>
      <c r="P85" s="4"/>
      <c r="Q85" s="4"/>
      <c r="R85" s="4"/>
      <c r="S85" s="4"/>
      <c r="T85" s="4"/>
      <c r="U85" s="4"/>
      <c r="V85" s="4"/>
      <c r="W85" s="4"/>
    </row>
    <row r="86" spans="1:23" x14ac:dyDescent="0.2">
      <c r="A86">
        <v>85</v>
      </c>
      <c r="B86" t="s">
        <v>236</v>
      </c>
      <c r="C86">
        <v>2014</v>
      </c>
      <c r="D86" t="s">
        <v>131</v>
      </c>
      <c r="E86">
        <v>63</v>
      </c>
      <c r="F86" t="s">
        <v>237</v>
      </c>
      <c r="G86" s="4">
        <v>40</v>
      </c>
      <c r="H86" s="18">
        <v>18</v>
      </c>
      <c r="I86" s="4">
        <v>0.45</v>
      </c>
      <c r="J86" s="4"/>
      <c r="K86" s="4"/>
      <c r="L86" s="4"/>
      <c r="M86" s="4"/>
      <c r="N86" s="4"/>
      <c r="O86" s="4"/>
      <c r="P86" s="4"/>
      <c r="Q86" s="4"/>
      <c r="R86" s="4"/>
      <c r="S86" s="4"/>
      <c r="T86" s="4"/>
      <c r="U86" s="4"/>
      <c r="V86" s="4"/>
      <c r="W86" s="4"/>
    </row>
    <row r="87" spans="1:23" s="10" customFormat="1" x14ac:dyDescent="0.2">
      <c r="A87" s="10">
        <v>86</v>
      </c>
      <c r="B87" s="10" t="s">
        <v>238</v>
      </c>
      <c r="C87" s="10">
        <v>2014</v>
      </c>
      <c r="D87" s="10" t="s">
        <v>119</v>
      </c>
      <c r="E87" s="10">
        <v>42</v>
      </c>
      <c r="F87" s="10" t="s">
        <v>239</v>
      </c>
      <c r="G87" s="11">
        <v>38</v>
      </c>
      <c r="H87" s="10">
        <v>11</v>
      </c>
      <c r="I87" s="11">
        <v>0.28947368421052633</v>
      </c>
      <c r="J87" s="11"/>
      <c r="K87" s="11"/>
      <c r="L87" s="11"/>
      <c r="M87" s="11"/>
      <c r="N87" s="11"/>
      <c r="O87" s="11"/>
      <c r="P87" s="11"/>
      <c r="Q87" s="11"/>
      <c r="R87" s="11"/>
      <c r="S87" s="11"/>
      <c r="T87" s="11"/>
      <c r="U87" s="11"/>
      <c r="V87" s="11"/>
      <c r="W87" s="11"/>
    </row>
    <row r="88" spans="1:23" x14ac:dyDescent="0.2">
      <c r="A88" s="1">
        <v>87</v>
      </c>
      <c r="B88" t="s">
        <v>240</v>
      </c>
      <c r="C88">
        <v>2014</v>
      </c>
      <c r="D88" t="s">
        <v>193</v>
      </c>
      <c r="E88">
        <v>29</v>
      </c>
      <c r="F88" t="s">
        <v>241</v>
      </c>
      <c r="G88" s="4">
        <v>106</v>
      </c>
      <c r="H88" s="18">
        <v>19</v>
      </c>
      <c r="I88" s="4">
        <v>0.17924528301886791</v>
      </c>
      <c r="J88" s="4"/>
      <c r="K88" s="4"/>
      <c r="L88" s="4"/>
      <c r="M88" s="4"/>
      <c r="N88" s="4"/>
      <c r="O88" s="4">
        <v>0.18867924528301888</v>
      </c>
      <c r="P88" s="4"/>
      <c r="Q88" s="4"/>
      <c r="R88" s="4"/>
      <c r="S88" s="4"/>
      <c r="T88" s="4"/>
      <c r="U88" s="4"/>
      <c r="V88" s="4"/>
      <c r="W88" s="4"/>
    </row>
    <row r="89" spans="1:23" x14ac:dyDescent="0.2">
      <c r="A89">
        <v>88</v>
      </c>
      <c r="B89" t="s">
        <v>242</v>
      </c>
      <c r="C89">
        <v>2013</v>
      </c>
      <c r="D89" t="s">
        <v>10</v>
      </c>
      <c r="E89">
        <v>28</v>
      </c>
      <c r="F89" t="s">
        <v>243</v>
      </c>
      <c r="G89" s="4">
        <v>209</v>
      </c>
      <c r="H89" s="18">
        <v>50</v>
      </c>
      <c r="I89" s="4">
        <v>0.23923444976076555</v>
      </c>
      <c r="J89" s="4"/>
      <c r="K89" s="4"/>
      <c r="L89" s="4"/>
      <c r="M89" s="4"/>
      <c r="N89" s="4"/>
      <c r="O89" s="4"/>
      <c r="P89" s="4"/>
      <c r="Q89" s="4"/>
      <c r="R89" s="4"/>
      <c r="S89" s="4"/>
      <c r="T89" s="4"/>
      <c r="U89" s="4"/>
      <c r="V89" s="4"/>
      <c r="W89" s="4"/>
    </row>
    <row r="90" spans="1:23" x14ac:dyDescent="0.2">
      <c r="A90">
        <v>89</v>
      </c>
      <c r="B90" t="s">
        <v>244</v>
      </c>
      <c r="C90">
        <v>2013</v>
      </c>
      <c r="D90" t="s">
        <v>224</v>
      </c>
      <c r="E90">
        <v>8</v>
      </c>
      <c r="F90" t="s">
        <v>245</v>
      </c>
      <c r="G90" s="4">
        <v>100</v>
      </c>
      <c r="H90" s="18">
        <v>36</v>
      </c>
      <c r="I90" s="4">
        <v>0.36</v>
      </c>
      <c r="J90" s="4"/>
      <c r="K90" s="4">
        <v>0.3</v>
      </c>
      <c r="M90" s="4"/>
      <c r="N90" s="4"/>
      <c r="O90" s="4">
        <v>0.4</v>
      </c>
      <c r="P90" s="4"/>
      <c r="Q90" s="4"/>
      <c r="R90" s="4"/>
      <c r="S90" s="4"/>
      <c r="T90" s="4"/>
      <c r="U90" s="4"/>
      <c r="V90" s="4"/>
      <c r="W90" s="4"/>
    </row>
    <row r="91" spans="1:23" x14ac:dyDescent="0.2">
      <c r="A91">
        <v>90</v>
      </c>
      <c r="B91" t="s">
        <v>246</v>
      </c>
      <c r="C91">
        <v>2013</v>
      </c>
      <c r="D91" t="s">
        <v>247</v>
      </c>
      <c r="E91">
        <v>17</v>
      </c>
      <c r="F91" t="s">
        <v>248</v>
      </c>
      <c r="G91" s="4">
        <v>413</v>
      </c>
      <c r="H91" s="18">
        <v>117</v>
      </c>
      <c r="I91" s="4">
        <v>0.28329297820823246</v>
      </c>
      <c r="J91" s="4"/>
      <c r="K91" s="4"/>
      <c r="L91" s="4"/>
      <c r="M91" s="4"/>
      <c r="N91" s="4"/>
      <c r="O91" s="4">
        <v>0.31234866828087166</v>
      </c>
      <c r="P91" s="4"/>
      <c r="Q91" s="4"/>
      <c r="R91" s="4"/>
      <c r="S91" s="4"/>
      <c r="T91" s="4"/>
      <c r="U91" s="4"/>
      <c r="V91" s="4"/>
      <c r="W91" s="4"/>
    </row>
    <row r="92" spans="1:23" x14ac:dyDescent="0.2">
      <c r="A92">
        <v>91</v>
      </c>
      <c r="B92" t="s">
        <v>249</v>
      </c>
      <c r="C92">
        <v>2013</v>
      </c>
      <c r="D92" t="s">
        <v>89</v>
      </c>
      <c r="E92">
        <v>13</v>
      </c>
      <c r="F92" t="s">
        <v>250</v>
      </c>
      <c r="G92" s="4">
        <v>317</v>
      </c>
      <c r="H92" s="18">
        <v>116</v>
      </c>
      <c r="I92" s="4">
        <v>0.36593059936908517</v>
      </c>
      <c r="J92" s="4"/>
      <c r="K92" s="4"/>
      <c r="L92" s="4"/>
      <c r="M92" s="4"/>
      <c r="N92" s="4"/>
      <c r="O92" s="4"/>
      <c r="P92" s="4"/>
      <c r="Q92" s="4"/>
      <c r="R92" s="4"/>
      <c r="S92" s="4"/>
      <c r="T92" s="4"/>
      <c r="U92" s="4"/>
      <c r="V92" s="4"/>
      <c r="W92" s="4"/>
    </row>
    <row r="93" spans="1:23" x14ac:dyDescent="0.2">
      <c r="A93">
        <v>92</v>
      </c>
      <c r="B93" t="s">
        <v>251</v>
      </c>
      <c r="C93">
        <v>2013</v>
      </c>
      <c r="D93" t="s">
        <v>100</v>
      </c>
      <c r="E93">
        <v>37</v>
      </c>
      <c r="F93" t="s">
        <v>252</v>
      </c>
      <c r="G93" s="4">
        <v>242</v>
      </c>
      <c r="H93" s="20">
        <v>57</v>
      </c>
      <c r="I93" s="4">
        <v>0.23553719008264462</v>
      </c>
      <c r="J93" s="4">
        <v>0.23140495867768596</v>
      </c>
      <c r="K93" s="4"/>
      <c r="L93" s="4"/>
      <c r="M93" s="4"/>
      <c r="N93" s="4"/>
      <c r="O93" s="4">
        <v>0.27685950413223143</v>
      </c>
      <c r="P93" s="4"/>
      <c r="Q93" s="4"/>
      <c r="R93" s="4"/>
      <c r="S93" s="4"/>
      <c r="T93" s="4"/>
      <c r="U93" s="4"/>
      <c r="V93" s="4"/>
      <c r="W93" s="4"/>
    </row>
    <row r="94" spans="1:23" x14ac:dyDescent="0.2">
      <c r="A94">
        <v>93</v>
      </c>
      <c r="B94" t="s">
        <v>253</v>
      </c>
      <c r="C94">
        <v>2013</v>
      </c>
      <c r="D94" t="s">
        <v>254</v>
      </c>
      <c r="E94">
        <v>19</v>
      </c>
      <c r="F94" t="s">
        <v>255</v>
      </c>
      <c r="G94" s="4">
        <v>489</v>
      </c>
      <c r="H94" s="20"/>
      <c r="I94" s="4"/>
      <c r="J94" s="4"/>
      <c r="K94" s="4"/>
      <c r="L94" s="4"/>
      <c r="M94" s="4"/>
      <c r="N94" s="4"/>
      <c r="O94" s="4">
        <v>0.21676891615541921</v>
      </c>
      <c r="P94" s="4"/>
      <c r="Q94" s="4"/>
      <c r="R94" s="4"/>
      <c r="S94" s="4"/>
      <c r="T94" s="4"/>
      <c r="U94" s="4"/>
      <c r="V94" s="4"/>
      <c r="W94" s="4"/>
    </row>
    <row r="95" spans="1:23" x14ac:dyDescent="0.2">
      <c r="A95">
        <v>94</v>
      </c>
      <c r="B95" t="s">
        <v>256</v>
      </c>
      <c r="C95">
        <v>2013</v>
      </c>
      <c r="D95" t="s">
        <v>176</v>
      </c>
      <c r="E95">
        <v>39</v>
      </c>
      <c r="F95" t="s">
        <v>257</v>
      </c>
      <c r="G95" s="4">
        <v>733</v>
      </c>
      <c r="H95" s="20">
        <v>177</v>
      </c>
      <c r="I95" s="4">
        <v>0.24147339699863574</v>
      </c>
      <c r="J95" s="4"/>
      <c r="K95" s="4"/>
      <c r="L95" s="4"/>
      <c r="M95" s="4"/>
      <c r="N95" s="4"/>
      <c r="O95" s="4"/>
      <c r="P95" s="4"/>
      <c r="Q95" s="4"/>
      <c r="R95" s="4"/>
      <c r="S95" s="4"/>
      <c r="T95" s="4"/>
      <c r="U95" s="4"/>
      <c r="V95" s="4"/>
      <c r="W95" s="4"/>
    </row>
    <row r="96" spans="1:23" x14ac:dyDescent="0.2">
      <c r="A96">
        <v>95</v>
      </c>
      <c r="B96" t="s">
        <v>258</v>
      </c>
      <c r="C96">
        <v>2013</v>
      </c>
      <c r="D96" t="s">
        <v>259</v>
      </c>
      <c r="E96">
        <v>24</v>
      </c>
      <c r="F96" t="s">
        <v>260</v>
      </c>
      <c r="G96" s="4">
        <v>36</v>
      </c>
      <c r="H96" s="20"/>
      <c r="I96" s="4"/>
      <c r="J96" s="4"/>
      <c r="K96" s="4"/>
      <c r="L96" s="4"/>
      <c r="M96" s="4"/>
      <c r="N96" s="4"/>
      <c r="O96" s="4">
        <v>0.16666666666666666</v>
      </c>
      <c r="P96" s="4"/>
      <c r="Q96" s="4"/>
      <c r="R96" s="4"/>
      <c r="S96" s="4"/>
      <c r="T96" s="4"/>
      <c r="U96" s="4"/>
      <c r="V96" s="4"/>
      <c r="W96" s="4"/>
    </row>
    <row r="97" spans="1:23" x14ac:dyDescent="0.2">
      <c r="A97">
        <v>96</v>
      </c>
      <c r="B97" t="s">
        <v>261</v>
      </c>
      <c r="C97">
        <v>2013</v>
      </c>
      <c r="D97" t="s">
        <v>262</v>
      </c>
      <c r="E97">
        <v>57</v>
      </c>
      <c r="F97" t="s">
        <v>263</v>
      </c>
      <c r="G97" s="4">
        <v>210</v>
      </c>
      <c r="H97" s="20">
        <v>23</v>
      </c>
      <c r="I97" s="4">
        <v>0.10952380952380952</v>
      </c>
      <c r="J97" s="4"/>
      <c r="K97" s="4">
        <v>0.20476190476190476</v>
      </c>
      <c r="L97" s="4">
        <v>0.24285714285714285</v>
      </c>
      <c r="M97" s="4"/>
      <c r="N97" s="4"/>
      <c r="O97" s="4"/>
      <c r="P97" s="4"/>
      <c r="Q97" s="4"/>
      <c r="R97" s="4"/>
      <c r="S97" s="4"/>
      <c r="T97" s="4"/>
      <c r="U97" s="4"/>
      <c r="V97" s="4"/>
      <c r="W97" s="4"/>
    </row>
    <row r="98" spans="1:23" x14ac:dyDescent="0.2">
      <c r="A98">
        <v>97</v>
      </c>
      <c r="B98" t="s">
        <v>264</v>
      </c>
      <c r="C98">
        <v>2013</v>
      </c>
      <c r="D98" t="s">
        <v>265</v>
      </c>
      <c r="E98">
        <v>24</v>
      </c>
      <c r="F98" t="s">
        <v>266</v>
      </c>
      <c r="G98" s="4">
        <v>328</v>
      </c>
      <c r="H98" s="20"/>
      <c r="I98" s="4"/>
      <c r="J98" s="4"/>
      <c r="K98" s="4">
        <v>0.16463414634146342</v>
      </c>
      <c r="L98" s="4"/>
      <c r="M98" s="4"/>
      <c r="N98" s="4"/>
      <c r="O98" s="4"/>
      <c r="P98" s="4"/>
      <c r="Q98" s="4"/>
      <c r="R98" s="4"/>
      <c r="S98" s="4"/>
      <c r="T98" s="4"/>
      <c r="U98" s="4"/>
      <c r="V98" s="4"/>
      <c r="W98" s="4"/>
    </row>
    <row r="99" spans="1:23" x14ac:dyDescent="0.2">
      <c r="A99">
        <v>98</v>
      </c>
      <c r="B99" t="s">
        <v>267</v>
      </c>
      <c r="C99">
        <v>2013</v>
      </c>
      <c r="D99" t="s">
        <v>138</v>
      </c>
      <c r="E99">
        <v>17</v>
      </c>
      <c r="F99" t="s">
        <v>268</v>
      </c>
      <c r="G99" s="4">
        <v>956</v>
      </c>
      <c r="H99" s="20"/>
      <c r="I99" s="4"/>
      <c r="J99" s="4"/>
      <c r="K99" s="4"/>
      <c r="L99" s="4">
        <v>0.27092050209205021</v>
      </c>
      <c r="M99" s="4"/>
      <c r="N99" s="4"/>
      <c r="O99" s="4"/>
      <c r="P99" s="4"/>
      <c r="Q99" s="4"/>
      <c r="R99" s="4"/>
      <c r="S99" s="4"/>
      <c r="T99" s="4"/>
      <c r="U99" s="4"/>
      <c r="V99" s="4"/>
      <c r="W99" s="4"/>
    </row>
    <row r="100" spans="1:23" x14ac:dyDescent="0.2">
      <c r="A100">
        <v>99</v>
      </c>
      <c r="B100" t="s">
        <v>269</v>
      </c>
      <c r="C100">
        <v>2013</v>
      </c>
      <c r="D100" t="s">
        <v>100</v>
      </c>
      <c r="E100">
        <v>37</v>
      </c>
      <c r="F100" t="s">
        <v>270</v>
      </c>
      <c r="G100" s="4">
        <v>25</v>
      </c>
      <c r="H100" s="20">
        <v>7</v>
      </c>
      <c r="I100" s="4">
        <v>0.28000000000000003</v>
      </c>
      <c r="J100" s="4"/>
      <c r="K100" s="4"/>
      <c r="L100" s="4"/>
      <c r="M100" s="4"/>
      <c r="N100" s="4"/>
      <c r="O100" s="4"/>
      <c r="P100" s="4"/>
      <c r="Q100" s="4"/>
      <c r="R100" s="4"/>
      <c r="S100" s="4"/>
      <c r="T100" s="4"/>
      <c r="U100" s="4"/>
      <c r="V100" s="4"/>
      <c r="W100" s="4"/>
    </row>
    <row r="101" spans="1:23" x14ac:dyDescent="0.2">
      <c r="A101">
        <v>100</v>
      </c>
      <c r="B101" t="s">
        <v>271</v>
      </c>
      <c r="C101">
        <v>2013</v>
      </c>
      <c r="D101" t="s">
        <v>176</v>
      </c>
      <c r="E101">
        <v>39</v>
      </c>
      <c r="F101" t="s">
        <v>272</v>
      </c>
      <c r="G101" s="4">
        <v>40</v>
      </c>
      <c r="H101" s="20">
        <v>8</v>
      </c>
      <c r="I101" s="4">
        <v>0.2</v>
      </c>
      <c r="J101" s="4"/>
      <c r="K101" s="4"/>
      <c r="L101" s="4"/>
      <c r="M101" s="4"/>
      <c r="N101" s="4"/>
      <c r="O101" s="4"/>
      <c r="P101" s="4"/>
      <c r="Q101" s="4"/>
      <c r="R101" s="4"/>
      <c r="S101" s="4"/>
      <c r="T101" s="4"/>
      <c r="U101" s="4"/>
      <c r="V101" s="4"/>
      <c r="W101" s="4"/>
    </row>
    <row r="102" spans="1:23" x14ac:dyDescent="0.2">
      <c r="A102">
        <v>101</v>
      </c>
      <c r="B102" t="s">
        <v>273</v>
      </c>
      <c r="C102">
        <v>2012</v>
      </c>
      <c r="D102" t="s">
        <v>219</v>
      </c>
      <c r="E102">
        <v>16</v>
      </c>
      <c r="F102" t="s">
        <v>274</v>
      </c>
      <c r="G102" s="4">
        <v>222</v>
      </c>
      <c r="H102" s="20">
        <v>59</v>
      </c>
      <c r="I102" s="4">
        <v>0.26576576576576577</v>
      </c>
      <c r="J102" s="4"/>
      <c r="K102" s="4"/>
      <c r="L102" s="4"/>
      <c r="M102" s="4"/>
      <c r="N102" s="4"/>
      <c r="O102" s="4">
        <v>0.28828828828828829</v>
      </c>
      <c r="P102" s="4"/>
      <c r="Q102" s="4"/>
      <c r="R102" s="4"/>
      <c r="S102" s="4"/>
      <c r="T102" s="4"/>
      <c r="U102" s="4"/>
      <c r="V102" s="4"/>
      <c r="W102" s="4"/>
    </row>
    <row r="103" spans="1:23" x14ac:dyDescent="0.2">
      <c r="A103">
        <v>102</v>
      </c>
      <c r="B103" t="s">
        <v>275</v>
      </c>
      <c r="C103">
        <v>2012</v>
      </c>
      <c r="D103" t="s">
        <v>276</v>
      </c>
      <c r="E103">
        <v>17</v>
      </c>
      <c r="F103" t="s">
        <v>277</v>
      </c>
      <c r="G103" s="4">
        <v>217</v>
      </c>
      <c r="H103" s="20"/>
      <c r="I103" s="4"/>
      <c r="J103" s="4"/>
      <c r="K103" s="4">
        <v>0.14746543778801843</v>
      </c>
      <c r="L103" s="4"/>
      <c r="M103" s="4"/>
      <c r="N103" s="4"/>
      <c r="O103" s="4"/>
      <c r="P103" s="4"/>
      <c r="Q103" s="4"/>
      <c r="R103" s="4"/>
      <c r="S103" s="4"/>
      <c r="T103" s="4"/>
      <c r="U103" s="4"/>
      <c r="V103" s="4"/>
      <c r="W103" s="4"/>
    </row>
    <row r="104" spans="1:23" x14ac:dyDescent="0.2">
      <c r="A104" s="1">
        <v>103</v>
      </c>
      <c r="B104" t="s">
        <v>278</v>
      </c>
      <c r="C104">
        <v>2012</v>
      </c>
      <c r="D104" t="s">
        <v>279</v>
      </c>
      <c r="E104">
        <v>64</v>
      </c>
      <c r="F104" t="s">
        <v>280</v>
      </c>
      <c r="G104" s="4">
        <v>372</v>
      </c>
      <c r="H104" s="20">
        <v>66</v>
      </c>
      <c r="I104" s="4">
        <v>0.17741935483870969</v>
      </c>
      <c r="J104" s="4"/>
      <c r="K104" s="4"/>
      <c r="L104" s="4"/>
      <c r="M104" s="4"/>
      <c r="N104" s="4"/>
      <c r="O104" s="4"/>
      <c r="P104" s="4"/>
      <c r="Q104" s="4"/>
      <c r="R104" s="4"/>
      <c r="S104" s="4"/>
      <c r="T104" s="4"/>
      <c r="U104" s="4"/>
      <c r="V104" s="4"/>
      <c r="W104" s="4"/>
    </row>
    <row r="105" spans="1:23" x14ac:dyDescent="0.2">
      <c r="A105">
        <v>104</v>
      </c>
      <c r="B105" t="s">
        <v>281</v>
      </c>
      <c r="C105">
        <v>2012</v>
      </c>
      <c r="D105" t="s">
        <v>254</v>
      </c>
      <c r="E105">
        <v>18</v>
      </c>
      <c r="F105" t="s">
        <v>282</v>
      </c>
      <c r="G105" s="4">
        <v>265</v>
      </c>
      <c r="H105" s="20">
        <v>84</v>
      </c>
      <c r="I105" s="4">
        <v>0.31698113207547168</v>
      </c>
      <c r="J105" s="4"/>
      <c r="K105" s="4"/>
      <c r="L105" s="4"/>
      <c r="M105" s="4"/>
      <c r="N105" s="4"/>
      <c r="O105" s="4"/>
      <c r="P105" s="4"/>
      <c r="Q105" s="4"/>
      <c r="R105" s="4"/>
      <c r="S105" s="4"/>
      <c r="T105" s="4"/>
      <c r="U105" s="4"/>
      <c r="V105" s="4"/>
      <c r="W105" s="4"/>
    </row>
    <row r="106" spans="1:23" x14ac:dyDescent="0.2">
      <c r="A106">
        <v>105</v>
      </c>
      <c r="B106" t="s">
        <v>283</v>
      </c>
      <c r="C106">
        <v>2012</v>
      </c>
      <c r="D106" t="s">
        <v>144</v>
      </c>
      <c r="E106">
        <v>18</v>
      </c>
      <c r="F106" t="s">
        <v>284</v>
      </c>
      <c r="G106" s="4">
        <v>132</v>
      </c>
      <c r="H106" s="20">
        <v>33</v>
      </c>
      <c r="I106" s="4">
        <v>0.25</v>
      </c>
      <c r="J106" s="4"/>
      <c r="K106" s="4"/>
      <c r="L106" s="4"/>
      <c r="M106" s="4"/>
      <c r="N106" s="4"/>
      <c r="O106" s="4"/>
      <c r="P106" s="4"/>
      <c r="Q106" s="4"/>
      <c r="R106" s="4"/>
      <c r="S106" s="4"/>
      <c r="T106" s="4"/>
      <c r="U106" s="4"/>
      <c r="V106" s="4"/>
      <c r="W106" s="4"/>
    </row>
    <row r="107" spans="1:23" x14ac:dyDescent="0.2">
      <c r="A107">
        <v>106</v>
      </c>
      <c r="B107" t="s">
        <v>285</v>
      </c>
      <c r="C107">
        <v>2012</v>
      </c>
      <c r="D107" t="s">
        <v>286</v>
      </c>
      <c r="E107">
        <v>142</v>
      </c>
      <c r="F107" t="s">
        <v>287</v>
      </c>
      <c r="G107" s="4">
        <v>49</v>
      </c>
      <c r="H107" s="20">
        <v>12</v>
      </c>
      <c r="I107" s="4">
        <v>0.24489795918367346</v>
      </c>
      <c r="J107" s="4"/>
      <c r="K107" s="4"/>
      <c r="L107" s="4"/>
      <c r="M107" s="4"/>
      <c r="N107" s="4"/>
      <c r="O107" s="4"/>
      <c r="P107" s="4"/>
      <c r="Q107" s="4"/>
      <c r="R107" s="4"/>
      <c r="S107" s="4"/>
      <c r="T107" s="4"/>
      <c r="U107" s="4"/>
      <c r="V107" s="4"/>
      <c r="W107" s="4"/>
    </row>
    <row r="108" spans="1:23" x14ac:dyDescent="0.2">
      <c r="A108">
        <v>107</v>
      </c>
      <c r="B108" t="s">
        <v>288</v>
      </c>
      <c r="C108">
        <v>2012</v>
      </c>
      <c r="D108" t="s">
        <v>289</v>
      </c>
      <c r="E108">
        <v>16</v>
      </c>
      <c r="F108" t="s">
        <v>290</v>
      </c>
      <c r="G108" s="4">
        <v>191</v>
      </c>
      <c r="H108" s="20">
        <v>42</v>
      </c>
      <c r="I108" s="4">
        <v>0.21989528795811519</v>
      </c>
      <c r="J108" s="4"/>
      <c r="K108" s="4"/>
      <c r="L108" s="4"/>
      <c r="M108" s="4"/>
      <c r="N108" s="4"/>
      <c r="O108" s="4">
        <v>0.246</v>
      </c>
      <c r="P108" s="4"/>
      <c r="Q108" s="4"/>
      <c r="R108" s="4"/>
      <c r="S108" s="4"/>
      <c r="T108" s="4"/>
      <c r="U108" s="4"/>
      <c r="V108" s="4"/>
      <c r="W108" s="4"/>
    </row>
    <row r="109" spans="1:23" s="14" customFormat="1" x14ac:dyDescent="0.2">
      <c r="A109" s="14">
        <v>108</v>
      </c>
      <c r="B109" s="14" t="s">
        <v>291</v>
      </c>
      <c r="C109" s="14">
        <v>2011</v>
      </c>
      <c r="D109" s="14" t="s">
        <v>292</v>
      </c>
      <c r="E109" s="14">
        <v>37</v>
      </c>
      <c r="F109" s="14" t="s">
        <v>293</v>
      </c>
      <c r="G109" s="15" t="s">
        <v>565</v>
      </c>
      <c r="H109" s="15"/>
      <c r="I109" s="15"/>
      <c r="J109" s="15"/>
      <c r="K109" s="15"/>
      <c r="L109" s="15"/>
      <c r="M109" s="15"/>
      <c r="N109" s="15"/>
      <c r="O109" s="15"/>
      <c r="P109" s="15"/>
      <c r="Q109" s="15"/>
      <c r="R109" s="15"/>
      <c r="S109" s="15"/>
      <c r="T109" s="15"/>
      <c r="U109" s="15"/>
      <c r="V109" s="15"/>
      <c r="W109" s="15"/>
    </row>
    <row r="110" spans="1:23" x14ac:dyDescent="0.2">
      <c r="A110" s="1">
        <v>109</v>
      </c>
      <c r="B110" t="s">
        <v>294</v>
      </c>
      <c r="C110">
        <v>2011</v>
      </c>
      <c r="D110" t="s">
        <v>10</v>
      </c>
      <c r="E110">
        <v>26</v>
      </c>
      <c r="F110" t="s">
        <v>295</v>
      </c>
      <c r="G110" s="4">
        <v>90</v>
      </c>
      <c r="H110" s="20"/>
      <c r="I110" s="4"/>
      <c r="J110" s="4"/>
      <c r="K110" s="4"/>
      <c r="L110" s="4"/>
      <c r="M110" s="4"/>
      <c r="N110" s="4"/>
      <c r="O110" s="4">
        <v>0.155</v>
      </c>
      <c r="P110" s="4"/>
      <c r="Q110" s="4"/>
      <c r="R110" s="4"/>
      <c r="S110" s="4"/>
      <c r="T110" s="4"/>
      <c r="U110" s="4"/>
      <c r="V110" s="4"/>
      <c r="W110" s="4"/>
    </row>
    <row r="111" spans="1:23" x14ac:dyDescent="0.2">
      <c r="A111" s="1">
        <v>110</v>
      </c>
      <c r="B111" t="s">
        <v>296</v>
      </c>
      <c r="C111">
        <v>2011</v>
      </c>
      <c r="D111" t="s">
        <v>10</v>
      </c>
      <c r="E111">
        <v>26</v>
      </c>
      <c r="F111" t="s">
        <v>297</v>
      </c>
      <c r="G111" s="4">
        <v>111</v>
      </c>
      <c r="H111" s="20">
        <v>29</v>
      </c>
      <c r="I111" s="4">
        <v>0.26126126126126126</v>
      </c>
      <c r="J111" s="4"/>
      <c r="K111" s="4"/>
      <c r="L111" s="4"/>
      <c r="M111" s="4"/>
      <c r="N111" s="4"/>
      <c r="O111" s="4">
        <v>0.30599999999999999</v>
      </c>
      <c r="P111" s="4"/>
      <c r="Q111" s="4"/>
      <c r="R111" s="4"/>
      <c r="S111" s="4"/>
      <c r="T111" s="4"/>
      <c r="U111" s="4"/>
      <c r="V111" s="4"/>
      <c r="W111" s="4"/>
    </row>
    <row r="112" spans="1:23" x14ac:dyDescent="0.2">
      <c r="A112">
        <v>111</v>
      </c>
      <c r="B112" t="s">
        <v>298</v>
      </c>
      <c r="C112">
        <v>2011</v>
      </c>
      <c r="D112" t="s">
        <v>138</v>
      </c>
      <c r="E112">
        <v>15</v>
      </c>
      <c r="F112" t="s">
        <v>299</v>
      </c>
      <c r="G112" s="4">
        <v>362</v>
      </c>
      <c r="H112" s="20"/>
      <c r="I112" s="4"/>
      <c r="J112" s="4"/>
      <c r="K112" s="4">
        <v>0.10220994475138122</v>
      </c>
      <c r="L112" s="4"/>
      <c r="M112" s="4"/>
      <c r="N112" s="4"/>
      <c r="O112" s="4"/>
      <c r="P112" s="4"/>
      <c r="Q112" s="4"/>
      <c r="R112" s="4"/>
      <c r="S112" s="4"/>
      <c r="T112" s="4"/>
      <c r="U112" s="4"/>
      <c r="V112" s="4"/>
      <c r="W112" s="4"/>
    </row>
    <row r="113" spans="1:23" x14ac:dyDescent="0.2">
      <c r="A113">
        <v>112</v>
      </c>
      <c r="B113" t="s">
        <v>300</v>
      </c>
      <c r="C113">
        <v>2011</v>
      </c>
      <c r="D113" t="s">
        <v>89</v>
      </c>
      <c r="E113">
        <v>11</v>
      </c>
      <c r="F113" t="s">
        <v>301</v>
      </c>
      <c r="G113" s="4">
        <v>70</v>
      </c>
      <c r="H113" s="20">
        <v>26</v>
      </c>
      <c r="I113" s="4">
        <v>0.37142857142857144</v>
      </c>
      <c r="J113" s="4"/>
      <c r="K113" s="4"/>
      <c r="L113" s="4"/>
      <c r="M113" s="4"/>
      <c r="N113" s="4"/>
      <c r="O113" s="4"/>
      <c r="P113" s="4"/>
      <c r="Q113" s="4"/>
      <c r="R113" s="4"/>
      <c r="S113" s="4"/>
      <c r="T113" s="4"/>
      <c r="U113" s="4"/>
      <c r="V113" s="4"/>
      <c r="W113" s="4"/>
    </row>
    <row r="114" spans="1:23" s="14" customFormat="1" x14ac:dyDescent="0.2">
      <c r="A114" s="14">
        <v>113</v>
      </c>
      <c r="B114" s="14" t="s">
        <v>302</v>
      </c>
      <c r="C114" s="14">
        <v>2011</v>
      </c>
      <c r="D114" s="14" t="s">
        <v>303</v>
      </c>
      <c r="E114" s="14">
        <v>11</v>
      </c>
      <c r="F114" s="14" t="s">
        <v>304</v>
      </c>
      <c r="G114" s="15" t="s">
        <v>566</v>
      </c>
      <c r="H114" s="15"/>
      <c r="I114" s="15"/>
      <c r="J114" s="15"/>
      <c r="K114" s="15"/>
      <c r="L114" s="15"/>
      <c r="M114" s="15"/>
      <c r="N114" s="15"/>
      <c r="O114" s="15"/>
      <c r="P114" s="15"/>
      <c r="Q114" s="15"/>
      <c r="R114" s="15"/>
      <c r="S114" s="15"/>
      <c r="T114" s="15"/>
      <c r="U114" s="15"/>
      <c r="V114" s="15"/>
      <c r="W114" s="15"/>
    </row>
    <row r="115" spans="1:23" x14ac:dyDescent="0.2">
      <c r="A115">
        <v>114</v>
      </c>
      <c r="B115" t="s">
        <v>305</v>
      </c>
      <c r="C115">
        <v>2011</v>
      </c>
      <c r="D115" t="s">
        <v>183</v>
      </c>
      <c r="E115">
        <v>183</v>
      </c>
      <c r="F115" t="s">
        <v>306</v>
      </c>
      <c r="G115" s="4">
        <v>208</v>
      </c>
      <c r="H115" s="20">
        <v>49</v>
      </c>
      <c r="I115" s="4">
        <v>0.23557692307692307</v>
      </c>
      <c r="J115" s="4"/>
      <c r="K115" s="4"/>
      <c r="L115" s="4"/>
      <c r="M115" s="4"/>
      <c r="N115" s="4"/>
      <c r="O115" s="4"/>
      <c r="P115" s="4"/>
      <c r="Q115" s="4"/>
      <c r="R115" s="4"/>
      <c r="S115" s="4"/>
      <c r="T115" s="4"/>
      <c r="U115" s="4"/>
      <c r="V115" s="4"/>
      <c r="W115" s="4"/>
    </row>
    <row r="116" spans="1:23" s="14" customFormat="1" x14ac:dyDescent="0.2">
      <c r="A116" s="14">
        <v>115</v>
      </c>
      <c r="B116" s="14" t="s">
        <v>307</v>
      </c>
      <c r="C116" s="14">
        <v>2011</v>
      </c>
      <c r="D116" s="14" t="s">
        <v>308</v>
      </c>
      <c r="E116" s="14">
        <v>140</v>
      </c>
      <c r="F116" s="14" t="s">
        <v>309</v>
      </c>
      <c r="G116" s="15"/>
      <c r="H116" s="15" t="s">
        <v>562</v>
      </c>
      <c r="I116" s="15"/>
      <c r="J116" s="15"/>
      <c r="K116" s="15"/>
      <c r="L116" s="15"/>
      <c r="M116" s="15"/>
      <c r="N116" s="15"/>
      <c r="O116" s="15"/>
      <c r="P116" s="15"/>
      <c r="Q116" s="15"/>
      <c r="R116" s="15"/>
      <c r="S116" s="15"/>
      <c r="T116" s="15"/>
      <c r="U116" s="15"/>
      <c r="V116" s="15"/>
      <c r="W116" s="15"/>
    </row>
    <row r="117" spans="1:23" s="14" customFormat="1" x14ac:dyDescent="0.2">
      <c r="A117" s="14">
        <v>116</v>
      </c>
      <c r="B117" s="14" t="s">
        <v>310</v>
      </c>
      <c r="C117" s="14">
        <v>2011</v>
      </c>
      <c r="D117" s="14" t="s">
        <v>147</v>
      </c>
      <c r="E117" s="14">
        <v>38</v>
      </c>
      <c r="F117" s="14" t="s">
        <v>311</v>
      </c>
      <c r="G117" s="15"/>
      <c r="H117" s="15" t="s">
        <v>562</v>
      </c>
      <c r="I117" s="15"/>
      <c r="J117" s="15"/>
      <c r="K117" s="15"/>
      <c r="L117" s="15"/>
      <c r="M117" s="15"/>
      <c r="N117" s="15"/>
      <c r="O117" s="15"/>
      <c r="P117" s="15"/>
      <c r="Q117" s="15"/>
      <c r="R117" s="15"/>
      <c r="S117" s="15"/>
      <c r="T117" s="15"/>
      <c r="U117" s="15"/>
      <c r="V117" s="15"/>
      <c r="W117" s="15"/>
    </row>
    <row r="118" spans="1:23" s="14" customFormat="1" x14ac:dyDescent="0.2">
      <c r="A118" s="14">
        <v>117</v>
      </c>
      <c r="B118" s="14" t="s">
        <v>312</v>
      </c>
      <c r="C118" s="14">
        <v>2011</v>
      </c>
      <c r="D118" s="14" t="s">
        <v>183</v>
      </c>
      <c r="E118" s="14">
        <v>183</v>
      </c>
      <c r="F118" s="14" t="s">
        <v>313</v>
      </c>
      <c r="G118" s="15"/>
      <c r="H118" s="15" t="s">
        <v>562</v>
      </c>
      <c r="I118" s="15"/>
      <c r="J118" s="15"/>
      <c r="K118" s="15"/>
      <c r="L118" s="15"/>
      <c r="M118" s="15"/>
      <c r="N118" s="15"/>
      <c r="O118" s="15"/>
      <c r="P118" s="15"/>
      <c r="Q118" s="15"/>
      <c r="R118" s="15"/>
      <c r="S118" s="15"/>
      <c r="T118" s="15"/>
      <c r="U118" s="15"/>
      <c r="V118" s="15"/>
      <c r="W118" s="15"/>
    </row>
    <row r="119" spans="1:23" x14ac:dyDescent="0.2">
      <c r="A119" s="1">
        <v>118</v>
      </c>
      <c r="B119" t="s">
        <v>314</v>
      </c>
      <c r="C119">
        <v>2010</v>
      </c>
      <c r="D119" t="s">
        <v>315</v>
      </c>
      <c r="E119">
        <v>32</v>
      </c>
      <c r="F119" t="s">
        <v>316</v>
      </c>
      <c r="G119" s="4">
        <v>129</v>
      </c>
      <c r="H119" s="20"/>
      <c r="I119" s="4"/>
      <c r="J119" s="4"/>
      <c r="K119" s="4"/>
      <c r="L119" s="4"/>
      <c r="M119" s="4"/>
      <c r="N119" s="4"/>
      <c r="O119" s="4">
        <v>0.19</v>
      </c>
      <c r="P119" s="4"/>
      <c r="Q119" s="4"/>
      <c r="R119" s="4"/>
      <c r="S119" s="4"/>
      <c r="T119" s="4"/>
      <c r="U119" s="4"/>
      <c r="V119" s="4"/>
      <c r="W119" s="4"/>
    </row>
    <row r="120" spans="1:23" x14ac:dyDescent="0.2">
      <c r="A120" s="1">
        <v>119</v>
      </c>
      <c r="B120" t="s">
        <v>317</v>
      </c>
      <c r="C120">
        <v>2010</v>
      </c>
      <c r="D120" t="s">
        <v>10</v>
      </c>
      <c r="E120">
        <v>25</v>
      </c>
      <c r="F120" t="s">
        <v>318</v>
      </c>
      <c r="G120" s="4">
        <v>112</v>
      </c>
      <c r="H120" s="20">
        <v>57</v>
      </c>
      <c r="I120" s="4">
        <v>0.5089285714285714</v>
      </c>
      <c r="J120" s="4"/>
      <c r="K120" s="4"/>
      <c r="L120" s="4"/>
      <c r="M120" s="4"/>
      <c r="N120" s="4"/>
      <c r="O120" s="4"/>
      <c r="P120" s="4"/>
      <c r="Q120" s="4"/>
      <c r="R120" s="4"/>
      <c r="S120" s="4"/>
      <c r="T120" s="4"/>
      <c r="U120" s="4"/>
      <c r="V120" s="4"/>
      <c r="W120" s="4"/>
    </row>
    <row r="121" spans="1:23" x14ac:dyDescent="0.2">
      <c r="A121">
        <v>120</v>
      </c>
      <c r="B121" t="s">
        <v>319</v>
      </c>
      <c r="C121">
        <v>2010</v>
      </c>
      <c r="D121" t="s">
        <v>320</v>
      </c>
      <c r="E121">
        <v>58</v>
      </c>
      <c r="F121" t="s">
        <v>321</v>
      </c>
      <c r="G121" s="4">
        <v>19</v>
      </c>
      <c r="H121" s="20">
        <v>4</v>
      </c>
      <c r="I121" s="4">
        <v>0.21052631578947367</v>
      </c>
      <c r="J121" s="4"/>
      <c r="K121" s="4"/>
      <c r="L121" s="4"/>
      <c r="M121" s="4"/>
      <c r="N121" s="4"/>
      <c r="O121" s="4"/>
      <c r="P121" s="4"/>
      <c r="Q121" s="4"/>
      <c r="R121" s="4"/>
      <c r="S121" s="4"/>
      <c r="T121" s="4"/>
      <c r="U121" s="4"/>
      <c r="V121" s="4"/>
      <c r="W121" s="4"/>
    </row>
    <row r="122" spans="1:23" x14ac:dyDescent="0.2">
      <c r="A122">
        <v>121</v>
      </c>
      <c r="B122" t="s">
        <v>322</v>
      </c>
      <c r="C122">
        <v>2010</v>
      </c>
      <c r="D122" t="s">
        <v>323</v>
      </c>
      <c r="E122">
        <v>23</v>
      </c>
      <c r="F122" t="s">
        <v>324</v>
      </c>
      <c r="G122" s="4">
        <v>22</v>
      </c>
      <c r="H122" s="20">
        <v>12</v>
      </c>
      <c r="I122" s="4">
        <v>0.54545454545454541</v>
      </c>
      <c r="J122" s="4"/>
      <c r="K122" s="4"/>
      <c r="L122" s="4"/>
      <c r="M122" s="4"/>
      <c r="N122" s="4"/>
      <c r="O122" s="4"/>
      <c r="P122" s="4"/>
      <c r="Q122" s="4"/>
      <c r="R122" s="4"/>
      <c r="S122" s="4"/>
      <c r="T122" s="4"/>
      <c r="U122" s="4"/>
      <c r="V122" s="4"/>
      <c r="W122" s="4"/>
    </row>
    <row r="123" spans="1:23" x14ac:dyDescent="0.2">
      <c r="A123">
        <v>122</v>
      </c>
      <c r="B123" t="s">
        <v>325</v>
      </c>
      <c r="C123">
        <v>2010</v>
      </c>
      <c r="D123" t="s">
        <v>326</v>
      </c>
      <c r="E123">
        <v>16</v>
      </c>
      <c r="F123" t="s">
        <v>327</v>
      </c>
      <c r="G123" s="4">
        <v>76</v>
      </c>
      <c r="H123" s="20">
        <v>28</v>
      </c>
      <c r="I123" s="4">
        <v>0.36842105263157893</v>
      </c>
      <c r="J123" s="4"/>
      <c r="K123" s="4"/>
      <c r="L123" s="4"/>
      <c r="M123" s="4"/>
      <c r="N123" s="4"/>
      <c r="O123" s="4"/>
      <c r="P123" s="4"/>
      <c r="Q123" s="4"/>
      <c r="R123" s="4"/>
      <c r="S123" s="4"/>
      <c r="T123" s="4"/>
      <c r="U123" s="4"/>
      <c r="V123" s="4"/>
      <c r="W123" s="4"/>
    </row>
    <row r="124" spans="1:23" x14ac:dyDescent="0.2">
      <c r="A124">
        <v>123</v>
      </c>
      <c r="B124" t="s">
        <v>328</v>
      </c>
      <c r="C124">
        <v>2010</v>
      </c>
      <c r="D124" t="s">
        <v>176</v>
      </c>
      <c r="E124">
        <v>36</v>
      </c>
      <c r="F124" t="s">
        <v>329</v>
      </c>
      <c r="G124" s="4">
        <v>218</v>
      </c>
      <c r="H124" s="20">
        <v>82</v>
      </c>
      <c r="I124" s="4">
        <v>0.37614678899082571</v>
      </c>
      <c r="J124" s="4"/>
      <c r="K124" s="4"/>
      <c r="L124" s="4"/>
      <c r="M124" s="4"/>
      <c r="N124" s="4"/>
      <c r="O124" s="4"/>
      <c r="P124" s="4"/>
      <c r="Q124" s="4"/>
      <c r="R124" s="4"/>
      <c r="S124" s="4"/>
      <c r="T124" s="4"/>
      <c r="U124" s="4"/>
      <c r="V124" s="4"/>
      <c r="W124" s="4"/>
    </row>
    <row r="125" spans="1:23" s="14" customFormat="1" x14ac:dyDescent="0.2">
      <c r="A125" s="14">
        <v>124</v>
      </c>
      <c r="B125" s="14" t="s">
        <v>330</v>
      </c>
      <c r="C125" s="14">
        <v>2010</v>
      </c>
      <c r="D125" s="14" t="s">
        <v>183</v>
      </c>
      <c r="E125" s="14">
        <v>181</v>
      </c>
      <c r="F125" s="14" t="s">
        <v>331</v>
      </c>
      <c r="G125" s="15"/>
      <c r="H125" s="15"/>
      <c r="I125" s="15" t="s">
        <v>567</v>
      </c>
      <c r="J125" s="15"/>
      <c r="K125" s="15"/>
      <c r="L125" s="15"/>
      <c r="M125" s="15"/>
      <c r="N125" s="15"/>
      <c r="O125" s="15"/>
      <c r="P125" s="15"/>
      <c r="Q125" s="15"/>
      <c r="R125" s="15"/>
      <c r="S125" s="15"/>
      <c r="T125" s="15"/>
      <c r="U125" s="15"/>
      <c r="V125" s="15"/>
      <c r="W125" s="15"/>
    </row>
    <row r="126" spans="1:23" x14ac:dyDescent="0.2">
      <c r="A126">
        <v>125</v>
      </c>
      <c r="B126" t="s">
        <v>332</v>
      </c>
      <c r="C126">
        <v>2009</v>
      </c>
      <c r="D126" t="s">
        <v>176</v>
      </c>
      <c r="E126">
        <v>35</v>
      </c>
      <c r="F126" t="s">
        <v>333</v>
      </c>
      <c r="G126" s="4">
        <v>212</v>
      </c>
      <c r="H126" s="20">
        <v>56</v>
      </c>
      <c r="I126" s="4">
        <v>0.26415094339622641</v>
      </c>
      <c r="J126" s="4"/>
      <c r="K126" s="4"/>
      <c r="L126" s="4"/>
      <c r="M126" s="4"/>
      <c r="N126" s="4"/>
      <c r="O126" s="4"/>
      <c r="P126" s="4"/>
      <c r="Q126" s="4"/>
      <c r="R126" s="4"/>
      <c r="S126" s="4"/>
      <c r="T126" s="4"/>
      <c r="U126" s="4"/>
      <c r="V126" s="4"/>
      <c r="W126" s="4"/>
    </row>
    <row r="127" spans="1:23" x14ac:dyDescent="0.2">
      <c r="A127">
        <v>126</v>
      </c>
      <c r="B127" t="s">
        <v>334</v>
      </c>
      <c r="C127">
        <v>2008</v>
      </c>
      <c r="D127" t="s">
        <v>308</v>
      </c>
      <c r="E127">
        <v>134</v>
      </c>
      <c r="F127" t="s">
        <v>335</v>
      </c>
      <c r="G127" s="4">
        <v>72</v>
      </c>
      <c r="H127" s="20">
        <v>10</v>
      </c>
      <c r="I127" s="4">
        <v>0.1388888888888889</v>
      </c>
      <c r="J127" s="4"/>
      <c r="K127" s="4"/>
      <c r="L127" s="4"/>
      <c r="M127" s="4"/>
      <c r="N127" s="4"/>
      <c r="O127" s="4">
        <v>0.16700000000000001</v>
      </c>
      <c r="P127" s="4"/>
      <c r="Q127" s="4"/>
      <c r="R127" s="4"/>
      <c r="S127" s="4"/>
      <c r="T127" s="4"/>
      <c r="U127" s="4"/>
      <c r="V127" s="4"/>
      <c r="W127" s="4"/>
    </row>
    <row r="128" spans="1:23" x14ac:dyDescent="0.2">
      <c r="A128">
        <v>127</v>
      </c>
      <c r="B128" t="s">
        <v>336</v>
      </c>
      <c r="C128">
        <v>2007</v>
      </c>
      <c r="D128" t="s">
        <v>337</v>
      </c>
      <c r="E128">
        <v>22</v>
      </c>
      <c r="F128" t="s">
        <v>338</v>
      </c>
      <c r="G128" s="4">
        <v>85</v>
      </c>
      <c r="H128" s="20">
        <v>48</v>
      </c>
      <c r="I128" s="4">
        <v>0.56470588235294117</v>
      </c>
      <c r="J128" s="4"/>
      <c r="K128" s="4"/>
      <c r="L128" s="4"/>
      <c r="M128" s="4"/>
      <c r="N128" s="4"/>
      <c r="O128" s="4"/>
      <c r="P128" s="4"/>
      <c r="Q128" s="4"/>
      <c r="R128" s="4"/>
      <c r="S128" s="4"/>
      <c r="T128" s="4"/>
      <c r="U128" s="4"/>
      <c r="V128" s="4"/>
      <c r="W128" s="4"/>
    </row>
    <row r="129" spans="1:23" x14ac:dyDescent="0.2">
      <c r="A129">
        <v>128</v>
      </c>
      <c r="B129" t="s">
        <v>339</v>
      </c>
      <c r="C129">
        <v>2007</v>
      </c>
      <c r="D129" t="s">
        <v>340</v>
      </c>
      <c r="E129">
        <v>55</v>
      </c>
      <c r="F129" t="s">
        <v>341</v>
      </c>
      <c r="G129" s="4">
        <v>822</v>
      </c>
      <c r="H129" s="20">
        <v>291</v>
      </c>
      <c r="I129" s="4">
        <v>0.354014598540146</v>
      </c>
      <c r="J129" s="4"/>
      <c r="K129" s="4"/>
      <c r="L129" s="4"/>
      <c r="M129" s="4"/>
      <c r="N129" s="4"/>
      <c r="O129" s="4"/>
      <c r="P129" s="4"/>
      <c r="Q129" s="4"/>
      <c r="R129" s="4"/>
      <c r="S129" s="4"/>
      <c r="T129" s="4"/>
      <c r="U129" s="4"/>
      <c r="V129" s="4"/>
      <c r="W129" s="4"/>
    </row>
    <row r="130" spans="1:23" x14ac:dyDescent="0.2">
      <c r="A130">
        <v>129</v>
      </c>
      <c r="B130" t="s">
        <v>342</v>
      </c>
      <c r="C130">
        <v>2007</v>
      </c>
      <c r="D130" t="s">
        <v>119</v>
      </c>
      <c r="E130">
        <v>35</v>
      </c>
      <c r="F130" t="s">
        <v>343</v>
      </c>
      <c r="G130" s="4">
        <v>353</v>
      </c>
      <c r="H130" s="20">
        <v>100</v>
      </c>
      <c r="I130" s="4">
        <v>0.28328611898016998</v>
      </c>
      <c r="J130" s="4"/>
      <c r="K130" s="4"/>
      <c r="L130" s="4"/>
      <c r="M130" s="4"/>
      <c r="N130" s="4"/>
      <c r="O130" s="4"/>
      <c r="P130" s="4"/>
      <c r="Q130" s="4"/>
      <c r="R130" s="4"/>
      <c r="S130" s="4"/>
      <c r="T130" s="4"/>
      <c r="U130" s="4"/>
      <c r="V130" s="4"/>
      <c r="W130" s="4"/>
    </row>
    <row r="131" spans="1:23" x14ac:dyDescent="0.2">
      <c r="A131">
        <v>130</v>
      </c>
      <c r="B131" t="s">
        <v>344</v>
      </c>
      <c r="C131">
        <v>2007</v>
      </c>
      <c r="D131" t="s">
        <v>345</v>
      </c>
      <c r="E131">
        <v>35</v>
      </c>
      <c r="F131" t="s">
        <v>346</v>
      </c>
      <c r="G131" s="4">
        <v>529</v>
      </c>
      <c r="H131" s="20">
        <v>148</v>
      </c>
      <c r="I131" s="4">
        <v>0.27977315689981097</v>
      </c>
      <c r="J131" s="4"/>
      <c r="K131" s="4"/>
      <c r="L131" s="4"/>
      <c r="M131" s="4"/>
      <c r="N131" s="4"/>
      <c r="O131" s="4"/>
      <c r="P131" s="4"/>
      <c r="Q131" s="4"/>
      <c r="R131" s="4"/>
      <c r="S131" s="4"/>
      <c r="T131" s="4"/>
      <c r="U131" s="4"/>
      <c r="V131" s="4"/>
      <c r="W131" s="4"/>
    </row>
    <row r="132" spans="1:23" x14ac:dyDescent="0.2">
      <c r="A132">
        <v>131</v>
      </c>
      <c r="B132" t="s">
        <v>347</v>
      </c>
      <c r="C132">
        <v>2006</v>
      </c>
      <c r="D132" t="s">
        <v>219</v>
      </c>
      <c r="E132">
        <v>10</v>
      </c>
      <c r="F132" t="s">
        <v>348</v>
      </c>
      <c r="G132" s="4">
        <v>17869</v>
      </c>
      <c r="H132" s="20">
        <v>6236</v>
      </c>
      <c r="I132" s="4">
        <v>0.34898427444177066</v>
      </c>
      <c r="J132" s="4"/>
      <c r="K132" s="4"/>
      <c r="L132" s="4"/>
      <c r="M132" s="4"/>
      <c r="N132" s="4"/>
      <c r="O132" s="4"/>
      <c r="P132" s="4"/>
      <c r="Q132" s="4"/>
      <c r="R132" s="4"/>
      <c r="S132" s="4"/>
      <c r="T132" s="4"/>
      <c r="U132" s="4"/>
      <c r="V132" s="4"/>
      <c r="W132" s="4"/>
    </row>
    <row r="133" spans="1:23" x14ac:dyDescent="0.2">
      <c r="A133">
        <v>132</v>
      </c>
      <c r="B133" t="s">
        <v>349</v>
      </c>
      <c r="C133">
        <v>2006</v>
      </c>
      <c r="D133" t="s">
        <v>147</v>
      </c>
      <c r="E133">
        <v>27</v>
      </c>
      <c r="F133" t="s">
        <v>350</v>
      </c>
      <c r="G133" s="4">
        <v>428</v>
      </c>
      <c r="H133" s="20">
        <v>108</v>
      </c>
      <c r="I133" s="4">
        <v>0.25233644859813081</v>
      </c>
      <c r="J133" s="4"/>
      <c r="K133" s="4"/>
      <c r="L133" s="4"/>
      <c r="M133" s="4"/>
      <c r="N133" s="4"/>
      <c r="O133" s="4"/>
      <c r="P133" s="4"/>
      <c r="Q133" s="4"/>
      <c r="R133" s="4"/>
      <c r="S133" s="4"/>
      <c r="T133" s="4"/>
      <c r="U133" s="4"/>
      <c r="V133" s="4"/>
      <c r="W133" s="4"/>
    </row>
    <row r="134" spans="1:23" x14ac:dyDescent="0.2">
      <c r="A134" s="14">
        <v>133</v>
      </c>
      <c r="B134" t="s">
        <v>351</v>
      </c>
      <c r="C134">
        <v>2005</v>
      </c>
      <c r="D134" t="s">
        <v>230</v>
      </c>
      <c r="E134">
        <v>20</v>
      </c>
      <c r="F134" t="s">
        <v>352</v>
      </c>
      <c r="G134" s="4">
        <v>124</v>
      </c>
      <c r="H134" s="20">
        <v>40</v>
      </c>
      <c r="I134" s="4">
        <v>0.32258064516129031</v>
      </c>
      <c r="J134" s="4" t="s">
        <v>568</v>
      </c>
      <c r="K134" s="4"/>
      <c r="L134" s="4"/>
      <c r="M134" s="4"/>
      <c r="N134" s="4"/>
      <c r="O134" s="4">
        <v>0.37096774193548387</v>
      </c>
      <c r="P134" s="4"/>
      <c r="Q134" s="4"/>
      <c r="R134" s="4"/>
      <c r="S134" s="4"/>
      <c r="T134" s="4"/>
      <c r="U134" s="4"/>
      <c r="V134" s="4"/>
      <c r="W134" s="4"/>
    </row>
    <row r="135" spans="1:23" x14ac:dyDescent="0.2">
      <c r="A135">
        <v>134</v>
      </c>
      <c r="B135" t="s">
        <v>353</v>
      </c>
      <c r="C135">
        <v>2005</v>
      </c>
      <c r="D135" t="s">
        <v>227</v>
      </c>
      <c r="E135">
        <v>33</v>
      </c>
      <c r="F135" t="s">
        <v>354</v>
      </c>
      <c r="G135" s="4">
        <v>110</v>
      </c>
      <c r="H135" s="20">
        <v>30</v>
      </c>
      <c r="I135" s="4">
        <v>0.27272727272727271</v>
      </c>
      <c r="J135" s="4"/>
      <c r="K135" s="4"/>
      <c r="L135" s="4"/>
      <c r="M135" s="4"/>
      <c r="N135" s="4"/>
      <c r="O135" s="4"/>
      <c r="P135" s="4"/>
      <c r="Q135" s="4"/>
      <c r="R135" s="4"/>
      <c r="S135" s="4"/>
      <c r="T135" s="4"/>
      <c r="U135" s="4"/>
      <c r="V135" s="4"/>
      <c r="W135" s="4"/>
    </row>
    <row r="136" spans="1:23" x14ac:dyDescent="0.2">
      <c r="A136">
        <v>135</v>
      </c>
      <c r="B136" t="s">
        <v>355</v>
      </c>
      <c r="C136">
        <v>2005</v>
      </c>
      <c r="D136" t="s">
        <v>356</v>
      </c>
      <c r="E136">
        <v>28</v>
      </c>
      <c r="F136" t="s">
        <v>357</v>
      </c>
      <c r="G136" s="4">
        <v>59</v>
      </c>
      <c r="H136" s="20">
        <v>33</v>
      </c>
      <c r="I136" s="4">
        <v>0.55932203389830504</v>
      </c>
      <c r="J136" s="4"/>
      <c r="K136" s="4"/>
      <c r="L136" s="4"/>
      <c r="M136" s="4"/>
      <c r="N136" s="4"/>
      <c r="O136" s="4"/>
      <c r="P136" s="4"/>
      <c r="Q136" s="4"/>
      <c r="R136" s="4"/>
      <c r="S136" s="4"/>
      <c r="T136" s="4"/>
      <c r="U136" s="4"/>
      <c r="V136" s="4"/>
      <c r="W136" s="4"/>
    </row>
    <row r="137" spans="1:23" x14ac:dyDescent="0.2">
      <c r="A137">
        <v>136</v>
      </c>
      <c r="B137" t="s">
        <v>358</v>
      </c>
      <c r="C137">
        <v>2005</v>
      </c>
      <c r="D137" t="s">
        <v>359</v>
      </c>
      <c r="E137">
        <v>44</v>
      </c>
      <c r="F137" t="s">
        <v>360</v>
      </c>
      <c r="G137" s="4">
        <v>72</v>
      </c>
      <c r="H137" s="20">
        <v>31</v>
      </c>
      <c r="I137" s="4">
        <v>0.43055555555555558</v>
      </c>
      <c r="J137" s="4"/>
      <c r="K137" s="4"/>
      <c r="L137" s="4"/>
      <c r="M137" s="4"/>
      <c r="N137" s="4"/>
      <c r="O137" s="4"/>
      <c r="P137" s="4"/>
      <c r="Q137" s="4"/>
      <c r="R137" s="4"/>
      <c r="S137" s="4"/>
      <c r="T137" s="4"/>
      <c r="U137" s="4"/>
      <c r="V137" s="4"/>
      <c r="W137" s="4"/>
    </row>
    <row r="138" spans="1:23" x14ac:dyDescent="0.2">
      <c r="A138">
        <v>137</v>
      </c>
      <c r="B138" t="s">
        <v>361</v>
      </c>
      <c r="C138">
        <v>2004</v>
      </c>
      <c r="D138" t="s">
        <v>147</v>
      </c>
      <c r="E138">
        <v>24</v>
      </c>
      <c r="F138" t="s">
        <v>362</v>
      </c>
      <c r="G138" s="4">
        <v>112</v>
      </c>
      <c r="H138" s="20">
        <v>48</v>
      </c>
      <c r="I138" s="4">
        <v>0.42857142857142855</v>
      </c>
      <c r="J138" s="4"/>
      <c r="K138" s="4"/>
      <c r="L138" s="4"/>
      <c r="M138" s="4"/>
      <c r="N138" s="4"/>
      <c r="O138" s="4"/>
      <c r="P138" s="4"/>
      <c r="Q138" s="4"/>
      <c r="R138" s="4"/>
      <c r="S138" s="4"/>
      <c r="T138" s="4"/>
      <c r="U138" s="4"/>
      <c r="V138" s="4"/>
      <c r="W138" s="4"/>
    </row>
    <row r="139" spans="1:23" x14ac:dyDescent="0.2">
      <c r="A139">
        <v>138</v>
      </c>
      <c r="B139" t="s">
        <v>363</v>
      </c>
      <c r="C139">
        <v>2003</v>
      </c>
      <c r="D139" t="s">
        <v>364</v>
      </c>
      <c r="E139">
        <v>6</v>
      </c>
      <c r="F139" t="s">
        <v>365</v>
      </c>
      <c r="G139" s="4">
        <v>55</v>
      </c>
      <c r="H139" s="20">
        <v>13</v>
      </c>
      <c r="I139" s="4">
        <v>0.23636363636363636</v>
      </c>
      <c r="J139" s="4"/>
      <c r="K139" s="4"/>
      <c r="L139" s="4"/>
      <c r="M139" s="4"/>
      <c r="N139" s="4"/>
      <c r="O139" s="4"/>
      <c r="P139" s="4"/>
      <c r="Q139" s="4"/>
      <c r="R139" s="4"/>
      <c r="S139" s="4"/>
      <c r="T139" s="4"/>
      <c r="U139" s="4"/>
      <c r="V139" s="4"/>
      <c r="W139" s="4"/>
    </row>
    <row r="140" spans="1:23" x14ac:dyDescent="0.2">
      <c r="A140">
        <v>139</v>
      </c>
      <c r="B140" t="s">
        <v>366</v>
      </c>
      <c r="C140">
        <v>2003</v>
      </c>
      <c r="D140" t="s">
        <v>308</v>
      </c>
      <c r="E140">
        <v>123</v>
      </c>
      <c r="F140" t="s">
        <v>367</v>
      </c>
      <c r="G140" s="4">
        <v>204</v>
      </c>
      <c r="H140" s="20">
        <v>48</v>
      </c>
      <c r="I140" s="4">
        <v>0.23529411764705882</v>
      </c>
      <c r="J140" s="4"/>
      <c r="K140" s="4"/>
      <c r="L140" s="4"/>
      <c r="M140" s="4"/>
      <c r="N140" s="4"/>
      <c r="O140" s="4"/>
      <c r="P140" s="4"/>
      <c r="Q140" s="4"/>
      <c r="R140" s="4"/>
      <c r="S140" s="4"/>
      <c r="T140" s="4"/>
      <c r="U140" s="4"/>
      <c r="V140" s="4"/>
      <c r="W140" s="4"/>
    </row>
    <row r="141" spans="1:23" x14ac:dyDescent="0.2">
      <c r="A141">
        <v>140</v>
      </c>
      <c r="B141" t="s">
        <v>368</v>
      </c>
      <c r="C141">
        <v>2002</v>
      </c>
      <c r="D141" t="s">
        <v>176</v>
      </c>
      <c r="E141">
        <v>28</v>
      </c>
      <c r="F141" t="s">
        <v>369</v>
      </c>
      <c r="G141" s="4">
        <v>43</v>
      </c>
      <c r="H141" s="20">
        <v>14</v>
      </c>
      <c r="I141" s="4">
        <v>0.32558139534883723</v>
      </c>
      <c r="J141" s="4"/>
      <c r="K141" s="4"/>
      <c r="L141" s="4"/>
      <c r="M141" s="4"/>
      <c r="N141" s="4"/>
      <c r="O141" s="4"/>
      <c r="P141" s="4"/>
      <c r="Q141" s="4"/>
      <c r="R141" s="4"/>
      <c r="S141" s="4"/>
      <c r="T141" s="4"/>
      <c r="U141" s="4"/>
      <c r="V141" s="4"/>
      <c r="W141" s="4"/>
    </row>
    <row r="142" spans="1:23" x14ac:dyDescent="0.2">
      <c r="A142">
        <v>141</v>
      </c>
      <c r="B142" t="s">
        <v>370</v>
      </c>
      <c r="C142">
        <v>2000</v>
      </c>
      <c r="D142" t="s">
        <v>371</v>
      </c>
      <c r="E142">
        <v>113</v>
      </c>
      <c r="F142" t="s">
        <v>372</v>
      </c>
      <c r="G142" s="4">
        <v>32</v>
      </c>
      <c r="H142" s="20">
        <v>10</v>
      </c>
      <c r="I142" s="4">
        <v>0.3125</v>
      </c>
      <c r="J142" s="4"/>
      <c r="K142" s="4"/>
      <c r="L142" s="4"/>
      <c r="M142" s="4"/>
      <c r="N142" s="4"/>
      <c r="O142" s="4"/>
      <c r="P142" s="4"/>
      <c r="Q142" s="4"/>
      <c r="R142" s="4"/>
      <c r="S142" s="4"/>
      <c r="T142" s="4"/>
      <c r="U142" s="4"/>
      <c r="V142" s="4"/>
      <c r="W142" s="4"/>
    </row>
    <row r="143" spans="1:23" x14ac:dyDescent="0.2">
      <c r="A143">
        <v>142</v>
      </c>
      <c r="B143" t="s">
        <v>373</v>
      </c>
      <c r="C143">
        <v>2000</v>
      </c>
      <c r="D143" t="s">
        <v>308</v>
      </c>
      <c r="E143">
        <v>117</v>
      </c>
      <c r="F143" t="s">
        <v>374</v>
      </c>
      <c r="G143" s="4">
        <v>144</v>
      </c>
      <c r="H143" s="20">
        <v>66</v>
      </c>
      <c r="I143" s="4">
        <v>0.45833333333333331</v>
      </c>
      <c r="J143" s="4"/>
      <c r="K143" s="4"/>
      <c r="L143" s="4"/>
      <c r="M143" s="4"/>
      <c r="N143" s="4"/>
      <c r="O143" s="4"/>
      <c r="P143" s="4"/>
      <c r="Q143" s="4"/>
      <c r="R143" s="4"/>
      <c r="S143" s="4"/>
      <c r="T143" s="4"/>
      <c r="U143" s="4"/>
      <c r="V143" s="4"/>
      <c r="W143" s="4"/>
    </row>
    <row r="144" spans="1:23" x14ac:dyDescent="0.2">
      <c r="A144">
        <v>143</v>
      </c>
      <c r="B144" t="s">
        <v>375</v>
      </c>
      <c r="C144">
        <v>2012</v>
      </c>
      <c r="D144" t="s">
        <v>119</v>
      </c>
      <c r="E144">
        <v>40</v>
      </c>
      <c r="F144" t="s">
        <v>376</v>
      </c>
      <c r="G144" s="4">
        <v>1989</v>
      </c>
      <c r="H144" s="20"/>
      <c r="I144" s="4"/>
      <c r="J144" s="4"/>
      <c r="K144" s="4">
        <v>0.25590749120160883</v>
      </c>
      <c r="L144" s="4"/>
      <c r="M144" s="4"/>
      <c r="N144" s="4"/>
      <c r="O144" s="4"/>
      <c r="P144" s="4"/>
      <c r="Q144" s="4"/>
      <c r="R144" s="4"/>
      <c r="S144" s="4"/>
      <c r="T144" s="4"/>
      <c r="U144" s="4"/>
      <c r="V144" s="4"/>
      <c r="W144" s="4"/>
    </row>
    <row r="145" spans="1:23" x14ac:dyDescent="0.2">
      <c r="A145">
        <v>144</v>
      </c>
      <c r="B145" t="s">
        <v>377</v>
      </c>
      <c r="C145">
        <v>2005</v>
      </c>
      <c r="D145" t="s">
        <v>86</v>
      </c>
      <c r="E145">
        <v>35</v>
      </c>
      <c r="F145" t="s">
        <v>378</v>
      </c>
      <c r="G145" s="4">
        <v>96</v>
      </c>
      <c r="H145" s="20">
        <v>31</v>
      </c>
      <c r="I145" s="4">
        <v>0.32291666666666669</v>
      </c>
      <c r="J145" s="4"/>
      <c r="K145" s="4"/>
      <c r="L145" s="4"/>
      <c r="M145" s="4"/>
      <c r="N145" s="4"/>
      <c r="O145" s="4"/>
      <c r="P145" s="4"/>
      <c r="Q145" s="4"/>
      <c r="R145" s="4"/>
      <c r="S145" s="4"/>
      <c r="T145" s="4"/>
      <c r="U145" s="4"/>
      <c r="V145" s="4"/>
      <c r="W145" s="4"/>
    </row>
    <row r="146" spans="1:23" x14ac:dyDescent="0.2">
      <c r="A146" s="1">
        <v>145</v>
      </c>
      <c r="B146" t="s">
        <v>379</v>
      </c>
      <c r="C146">
        <v>2012</v>
      </c>
      <c r="D146" t="s">
        <v>176</v>
      </c>
      <c r="E146">
        <v>38</v>
      </c>
      <c r="F146" t="s">
        <v>380</v>
      </c>
      <c r="G146" s="4"/>
      <c r="H146" s="20"/>
      <c r="I146" s="4"/>
      <c r="J146" s="4"/>
      <c r="K146" s="4"/>
      <c r="L146" s="4"/>
      <c r="M146" s="4"/>
      <c r="N146" s="4"/>
      <c r="O146" s="4"/>
      <c r="P146" s="4"/>
      <c r="Q146" s="4"/>
      <c r="R146" s="4"/>
      <c r="S146" s="4"/>
      <c r="T146" s="4"/>
      <c r="U146" s="4"/>
      <c r="V146" s="4"/>
      <c r="W146" s="4"/>
    </row>
    <row r="147" spans="1:23" x14ac:dyDescent="0.2">
      <c r="A147" s="1">
        <v>146</v>
      </c>
      <c r="B147" t="s">
        <v>381</v>
      </c>
      <c r="C147">
        <v>2022</v>
      </c>
      <c r="D147" t="s">
        <v>382</v>
      </c>
      <c r="E147">
        <v>12</v>
      </c>
      <c r="F147" t="s">
        <v>383</v>
      </c>
      <c r="G147" s="4"/>
      <c r="H147" s="20"/>
      <c r="I147" s="4"/>
      <c r="J147" s="4"/>
      <c r="K147" s="4"/>
      <c r="L147" s="4"/>
      <c r="M147" s="4"/>
      <c r="N147" s="4"/>
      <c r="O147" s="4"/>
      <c r="P147" s="4"/>
      <c r="Q147" s="4"/>
      <c r="R147" s="4"/>
      <c r="S147" s="4"/>
      <c r="T147" s="4"/>
      <c r="U147" s="4"/>
      <c r="V147" s="4"/>
      <c r="W147" s="4"/>
    </row>
    <row r="148" spans="1:23" x14ac:dyDescent="0.2">
      <c r="A148">
        <v>147</v>
      </c>
      <c r="B148" t="s">
        <v>384</v>
      </c>
      <c r="C148">
        <v>2022</v>
      </c>
      <c r="D148" t="s">
        <v>385</v>
      </c>
      <c r="E148">
        <v>101</v>
      </c>
      <c r="F148" t="s">
        <v>386</v>
      </c>
      <c r="G148" s="4">
        <v>273</v>
      </c>
      <c r="H148" s="20">
        <v>88</v>
      </c>
      <c r="I148" s="4">
        <v>0.32234432234432236</v>
      </c>
      <c r="J148" s="4"/>
      <c r="K148" s="4"/>
      <c r="L148" s="4"/>
      <c r="M148" s="4"/>
      <c r="N148" s="4"/>
      <c r="O148" s="4"/>
      <c r="P148" s="4"/>
      <c r="Q148" s="4"/>
      <c r="R148" s="4"/>
      <c r="S148" s="4"/>
      <c r="T148" s="4"/>
      <c r="U148" s="4"/>
      <c r="V148" s="4"/>
      <c r="W148" s="4"/>
    </row>
    <row r="149" spans="1:23" s="14" customFormat="1" x14ac:dyDescent="0.2">
      <c r="A149" s="14">
        <v>148</v>
      </c>
      <c r="B149" s="14" t="s">
        <v>387</v>
      </c>
      <c r="C149" s="14">
        <v>2011</v>
      </c>
      <c r="D149" s="14" t="s">
        <v>388</v>
      </c>
      <c r="E149" s="14">
        <v>59</v>
      </c>
      <c r="F149" s="14" t="s">
        <v>389</v>
      </c>
      <c r="G149" s="15" t="s">
        <v>577</v>
      </c>
      <c r="H149" s="15"/>
      <c r="I149" s="15"/>
      <c r="J149" s="15"/>
      <c r="K149" s="15"/>
      <c r="L149" s="15"/>
      <c r="M149" s="15"/>
      <c r="N149" s="15"/>
      <c r="O149" s="15"/>
      <c r="P149" s="15"/>
      <c r="Q149" s="15"/>
      <c r="R149" s="15"/>
      <c r="S149" s="15"/>
      <c r="T149" s="15"/>
      <c r="U149" s="15"/>
      <c r="V149" s="15"/>
      <c r="W149" s="15"/>
    </row>
    <row r="150" spans="1:23" x14ac:dyDescent="0.2">
      <c r="A150">
        <v>149</v>
      </c>
      <c r="B150" t="s">
        <v>390</v>
      </c>
      <c r="C150">
        <v>2010</v>
      </c>
      <c r="D150" t="s">
        <v>176</v>
      </c>
      <c r="E150">
        <v>36</v>
      </c>
      <c r="F150" t="s">
        <v>391</v>
      </c>
      <c r="G150" s="4">
        <v>13</v>
      </c>
      <c r="H150" s="20"/>
      <c r="I150" s="4"/>
      <c r="J150" s="4"/>
      <c r="K150" s="4"/>
      <c r="L150" s="4"/>
      <c r="M150" s="4"/>
      <c r="N150" s="4"/>
      <c r="O150" s="4">
        <v>0.15384615384615385</v>
      </c>
      <c r="P150" s="4"/>
      <c r="Q150" s="4"/>
      <c r="R150" s="4"/>
      <c r="S150" s="4"/>
      <c r="T150" s="4"/>
      <c r="U150" s="4"/>
      <c r="V150" s="4"/>
      <c r="W150" s="4"/>
    </row>
    <row r="151" spans="1:23" x14ac:dyDescent="0.2">
      <c r="A151">
        <v>150</v>
      </c>
      <c r="B151" t="s">
        <v>392</v>
      </c>
      <c r="C151">
        <v>2010</v>
      </c>
      <c r="D151" t="s">
        <v>138</v>
      </c>
      <c r="E151">
        <v>14</v>
      </c>
      <c r="F151" t="s">
        <v>393</v>
      </c>
      <c r="G151" s="4">
        <v>30</v>
      </c>
      <c r="H151" s="20"/>
      <c r="I151" s="4"/>
      <c r="J151" s="4"/>
      <c r="K151" s="4"/>
      <c r="L151" s="4"/>
      <c r="M151" s="4"/>
      <c r="N151" s="4"/>
      <c r="O151" s="4">
        <v>0.33333333333333331</v>
      </c>
      <c r="P151" s="4"/>
      <c r="Q151" s="4"/>
      <c r="R151" s="4"/>
      <c r="S151" s="4"/>
      <c r="T151" s="4"/>
      <c r="U151" s="4"/>
      <c r="V151" s="4"/>
      <c r="W151" s="4"/>
    </row>
    <row r="152" spans="1:23" x14ac:dyDescent="0.2">
      <c r="A152">
        <v>151</v>
      </c>
      <c r="B152" t="s">
        <v>394</v>
      </c>
      <c r="C152">
        <v>2010</v>
      </c>
      <c r="D152" t="s">
        <v>147</v>
      </c>
      <c r="E152">
        <v>36</v>
      </c>
      <c r="F152" t="s">
        <v>395</v>
      </c>
      <c r="G152" s="4">
        <v>103</v>
      </c>
      <c r="H152" s="20"/>
      <c r="I152" s="4"/>
      <c r="J152" s="4"/>
      <c r="K152" s="4"/>
      <c r="L152" s="4"/>
      <c r="M152" s="4"/>
      <c r="N152" s="4"/>
      <c r="O152" s="4">
        <v>0.34951456310679613</v>
      </c>
      <c r="P152" s="4"/>
      <c r="Q152" s="4"/>
      <c r="R152" s="4"/>
      <c r="S152" s="4"/>
      <c r="T152" s="4"/>
      <c r="U152" s="4"/>
      <c r="V152" s="4"/>
      <c r="W152" s="4"/>
    </row>
    <row r="153" spans="1:23" s="14" customFormat="1" x14ac:dyDescent="0.2">
      <c r="A153" s="14">
        <v>152</v>
      </c>
      <c r="B153" s="14" t="s">
        <v>396</v>
      </c>
      <c r="C153" s="14">
        <v>2009</v>
      </c>
      <c r="D153" s="14" t="s">
        <v>119</v>
      </c>
      <c r="E153" s="14">
        <v>37</v>
      </c>
      <c r="F153" s="14" t="s">
        <v>397</v>
      </c>
      <c r="G153" s="15"/>
      <c r="H153" s="15" t="s">
        <v>578</v>
      </c>
      <c r="I153" s="15"/>
      <c r="J153" s="15"/>
      <c r="K153" s="15"/>
      <c r="L153" s="15"/>
      <c r="M153" s="15"/>
      <c r="N153" s="15"/>
      <c r="O153" s="15"/>
      <c r="P153" s="15"/>
      <c r="Q153" s="15"/>
      <c r="R153" s="15"/>
      <c r="S153" s="15"/>
      <c r="T153" s="15"/>
      <c r="U153" s="15"/>
      <c r="V153" s="15"/>
      <c r="W153" s="15"/>
    </row>
    <row r="154" spans="1:23" x14ac:dyDescent="0.2">
      <c r="A154">
        <v>153</v>
      </c>
      <c r="B154" t="s">
        <v>398</v>
      </c>
      <c r="C154">
        <v>2009</v>
      </c>
      <c r="D154" t="s">
        <v>119</v>
      </c>
      <c r="E154">
        <v>37</v>
      </c>
      <c r="F154" t="s">
        <v>399</v>
      </c>
      <c r="G154" s="4">
        <v>453</v>
      </c>
      <c r="H154" s="20"/>
      <c r="I154" s="4"/>
      <c r="J154" s="4">
        <v>0.1545253863134658</v>
      </c>
      <c r="K154" s="4"/>
      <c r="L154" s="4"/>
      <c r="M154" s="4"/>
      <c r="N154" s="4"/>
      <c r="O154" s="4"/>
      <c r="P154" s="4"/>
      <c r="Q154" s="4"/>
      <c r="R154" s="4"/>
      <c r="S154" s="4"/>
      <c r="T154" s="4"/>
      <c r="U154" s="4"/>
      <c r="V154" s="4"/>
      <c r="W154" s="4"/>
    </row>
    <row r="155" spans="1:23" x14ac:dyDescent="0.2">
      <c r="A155">
        <v>154</v>
      </c>
      <c r="B155" t="s">
        <v>400</v>
      </c>
      <c r="C155">
        <v>2007</v>
      </c>
      <c r="D155" t="s">
        <v>13</v>
      </c>
      <c r="E155">
        <v>106</v>
      </c>
      <c r="F155" t="s">
        <v>401</v>
      </c>
      <c r="G155" s="4">
        <v>22</v>
      </c>
      <c r="H155" s="20"/>
      <c r="I155" s="4"/>
      <c r="J155" s="4">
        <v>0.36363636363636365</v>
      </c>
      <c r="K155" s="4"/>
      <c r="L155" s="4"/>
      <c r="M155" s="4"/>
      <c r="N155" s="4"/>
      <c r="O155" s="4"/>
      <c r="P155" s="4"/>
      <c r="Q155" s="4"/>
      <c r="R155" s="4"/>
      <c r="S155" s="4"/>
      <c r="T155" s="4"/>
      <c r="U155" s="4"/>
      <c r="V155" s="4"/>
      <c r="W155" s="4"/>
    </row>
    <row r="156" spans="1:23" x14ac:dyDescent="0.2">
      <c r="A156" s="1">
        <v>155</v>
      </c>
      <c r="B156" t="s">
        <v>402</v>
      </c>
      <c r="C156">
        <v>2016</v>
      </c>
      <c r="D156" t="s">
        <v>403</v>
      </c>
      <c r="E156">
        <v>10</v>
      </c>
      <c r="F156" t="s">
        <v>404</v>
      </c>
      <c r="G156" s="4">
        <v>127</v>
      </c>
      <c r="H156" s="20"/>
      <c r="I156" s="4"/>
      <c r="J156" s="4"/>
      <c r="K156" s="4"/>
      <c r="L156" s="4"/>
      <c r="M156" s="4"/>
      <c r="N156" s="4"/>
      <c r="O156" s="4">
        <v>0.24409448818897639</v>
      </c>
      <c r="P156" s="4"/>
      <c r="Q156" s="4"/>
      <c r="R156" s="4"/>
      <c r="S156" s="4"/>
      <c r="T156" s="4"/>
      <c r="U156" s="4"/>
      <c r="V156" s="4"/>
      <c r="W156" s="4"/>
    </row>
    <row r="157" spans="1:23" x14ac:dyDescent="0.2">
      <c r="A157">
        <v>156</v>
      </c>
      <c r="B157" t="s">
        <v>405</v>
      </c>
      <c r="C157">
        <v>2015</v>
      </c>
      <c r="D157" t="s">
        <v>119</v>
      </c>
      <c r="E157">
        <v>43</v>
      </c>
      <c r="F157" t="s">
        <v>406</v>
      </c>
      <c r="G157" s="4">
        <v>26</v>
      </c>
      <c r="H157" s="20"/>
      <c r="I157" s="4"/>
      <c r="J157" s="4">
        <v>0.19230769230769232</v>
      </c>
      <c r="K157" s="4"/>
      <c r="L157" s="4"/>
      <c r="M157" s="4"/>
      <c r="N157" s="4"/>
      <c r="O157" s="4"/>
      <c r="P157" s="4"/>
      <c r="Q157" s="4"/>
      <c r="R157" s="4"/>
      <c r="S157" s="4"/>
      <c r="T157" s="4"/>
      <c r="U157" s="4"/>
      <c r="V157" s="4"/>
      <c r="W157" s="4"/>
    </row>
    <row r="158" spans="1:23" x14ac:dyDescent="0.2">
      <c r="A158">
        <v>157</v>
      </c>
      <c r="B158" t="s">
        <v>407</v>
      </c>
      <c r="C158">
        <v>2025</v>
      </c>
      <c r="D158" t="s">
        <v>408</v>
      </c>
      <c r="E158">
        <v>12</v>
      </c>
      <c r="F158" t="s">
        <v>409</v>
      </c>
      <c r="G158" s="4">
        <v>125</v>
      </c>
      <c r="H158" s="20"/>
      <c r="I158" s="4"/>
      <c r="J158" s="4">
        <v>0.32800000000000001</v>
      </c>
      <c r="K158" s="4"/>
      <c r="L158" s="4"/>
      <c r="M158" s="4"/>
      <c r="N158" s="4"/>
      <c r="O158" s="4"/>
      <c r="P158" s="4"/>
      <c r="Q158" s="4"/>
      <c r="R158" s="4"/>
      <c r="S158" s="4"/>
      <c r="T158" s="4"/>
      <c r="U158" s="4"/>
      <c r="V158" s="4"/>
      <c r="W158" s="4"/>
    </row>
    <row r="159" spans="1:23" s="14" customFormat="1" x14ac:dyDescent="0.2">
      <c r="A159" s="14">
        <v>158</v>
      </c>
      <c r="B159" s="14" t="s">
        <v>410</v>
      </c>
      <c r="C159" s="14">
        <v>2025</v>
      </c>
      <c r="D159" s="14" t="s">
        <v>411</v>
      </c>
      <c r="E159" s="14">
        <v>12</v>
      </c>
      <c r="F159" s="14" t="s">
        <v>412</v>
      </c>
      <c r="G159" s="15"/>
      <c r="H159" s="15" t="s">
        <v>576</v>
      </c>
      <c r="I159" s="15"/>
      <c r="J159" s="15"/>
      <c r="K159" s="15"/>
      <c r="L159" s="15"/>
      <c r="M159" s="15"/>
      <c r="N159" s="15"/>
      <c r="O159" s="15"/>
      <c r="P159" s="15"/>
      <c r="Q159" s="15"/>
      <c r="R159" s="15"/>
      <c r="S159" s="15"/>
      <c r="T159" s="15"/>
      <c r="U159" s="15"/>
      <c r="V159" s="15"/>
      <c r="W159" s="15"/>
    </row>
    <row r="160" spans="1:23" s="10" customFormat="1" x14ac:dyDescent="0.2">
      <c r="A160" s="1">
        <v>159</v>
      </c>
      <c r="B160" s="10" t="s">
        <v>413</v>
      </c>
      <c r="C160" s="10">
        <v>2025</v>
      </c>
      <c r="D160" s="10" t="s">
        <v>308</v>
      </c>
      <c r="E160" s="10">
        <v>167</v>
      </c>
      <c r="F160" s="10" t="s">
        <v>414</v>
      </c>
      <c r="G160" s="11">
        <v>349</v>
      </c>
      <c r="H160" s="20"/>
      <c r="I160" s="11"/>
      <c r="J160" s="11"/>
      <c r="K160" s="11"/>
      <c r="L160" s="11"/>
      <c r="M160" s="11"/>
      <c r="N160" s="11"/>
      <c r="O160" s="11"/>
      <c r="P160" s="11"/>
      <c r="Q160" s="11"/>
      <c r="R160" s="11"/>
      <c r="S160" s="11"/>
      <c r="T160" s="11"/>
      <c r="U160" s="11"/>
      <c r="V160" s="11"/>
      <c r="W160" s="11"/>
    </row>
    <row r="161" spans="1:23" x14ac:dyDescent="0.2">
      <c r="A161">
        <v>160</v>
      </c>
      <c r="B161" t="s">
        <v>415</v>
      </c>
      <c r="C161">
        <v>2024</v>
      </c>
      <c r="D161" t="s">
        <v>416</v>
      </c>
      <c r="E161">
        <v>18</v>
      </c>
      <c r="F161" t="s">
        <v>417</v>
      </c>
      <c r="G161" s="4">
        <v>101</v>
      </c>
      <c r="H161" s="20">
        <v>59</v>
      </c>
      <c r="I161" s="4">
        <v>0.58415841584158412</v>
      </c>
      <c r="J161" s="4"/>
      <c r="K161" s="4"/>
      <c r="L161" s="4"/>
      <c r="M161" s="4"/>
      <c r="N161" s="4"/>
      <c r="O161" s="4"/>
      <c r="P161" s="4"/>
      <c r="Q161" s="4"/>
      <c r="R161" s="4"/>
      <c r="S161" s="4"/>
      <c r="T161" s="4"/>
      <c r="U161" s="4"/>
      <c r="V161" s="4"/>
      <c r="W161" s="4"/>
    </row>
    <row r="162" spans="1:23" x14ac:dyDescent="0.2">
      <c r="A162">
        <v>161</v>
      </c>
      <c r="B162" t="s">
        <v>418</v>
      </c>
      <c r="C162">
        <v>2025</v>
      </c>
      <c r="D162" t="s">
        <v>10</v>
      </c>
      <c r="E162">
        <v>90</v>
      </c>
      <c r="F162" t="s">
        <v>419</v>
      </c>
      <c r="G162" s="4">
        <v>16985</v>
      </c>
      <c r="H162" s="20">
        <v>1087</v>
      </c>
      <c r="I162" s="4">
        <v>6.3997644980865465E-2</v>
      </c>
      <c r="J162" s="4"/>
      <c r="K162" s="4"/>
      <c r="L162" s="4"/>
      <c r="M162" s="4"/>
      <c r="N162" s="4"/>
      <c r="O162" s="4">
        <v>9.3023255813953487E-2</v>
      </c>
      <c r="P162" s="4"/>
      <c r="Q162" s="4"/>
      <c r="R162" s="4"/>
      <c r="S162" s="4"/>
      <c r="T162" s="4"/>
      <c r="U162" s="4"/>
      <c r="V162" s="4"/>
      <c r="W162" s="4"/>
    </row>
    <row r="163" spans="1:23" x14ac:dyDescent="0.2">
      <c r="A163" s="1">
        <v>162</v>
      </c>
      <c r="B163" t="s">
        <v>420</v>
      </c>
      <c r="C163">
        <v>2025</v>
      </c>
      <c r="D163" t="s">
        <v>58</v>
      </c>
      <c r="E163">
        <v>40</v>
      </c>
      <c r="F163" t="s">
        <v>421</v>
      </c>
      <c r="G163" s="4">
        <v>371</v>
      </c>
      <c r="H163" s="20"/>
      <c r="I163" s="4"/>
      <c r="J163" s="4">
        <v>0.16711590296495957</v>
      </c>
      <c r="K163" s="4"/>
      <c r="L163" s="4"/>
      <c r="M163" s="4"/>
      <c r="N163" s="4"/>
      <c r="O163" s="4"/>
      <c r="P163" s="4"/>
      <c r="Q163" s="4"/>
      <c r="R163" s="4"/>
      <c r="S163" s="4"/>
      <c r="T163" s="4"/>
      <c r="U163" s="4"/>
      <c r="V163" s="4"/>
      <c r="W163" s="4"/>
    </row>
    <row r="164" spans="1:23" x14ac:dyDescent="0.2">
      <c r="A164">
        <v>163</v>
      </c>
      <c r="B164" t="s">
        <v>422</v>
      </c>
      <c r="C164">
        <v>2023</v>
      </c>
      <c r="D164" t="s">
        <v>219</v>
      </c>
      <c r="E164">
        <v>27</v>
      </c>
      <c r="F164" t="s">
        <v>423</v>
      </c>
      <c r="G164" s="4">
        <v>3775</v>
      </c>
      <c r="H164" s="20"/>
      <c r="I164" s="4"/>
      <c r="J164" s="4"/>
      <c r="K164" s="4"/>
      <c r="L164" s="4"/>
      <c r="M164" s="4"/>
      <c r="N164" s="4">
        <v>0.37033112582781458</v>
      </c>
      <c r="O164" s="4">
        <v>0.16158940397350993</v>
      </c>
      <c r="P164" s="4"/>
      <c r="Q164" s="4"/>
      <c r="R164" s="4"/>
      <c r="S164" s="4"/>
      <c r="T164" s="4"/>
      <c r="U164" s="4"/>
      <c r="V164" s="4"/>
      <c r="W164" s="4"/>
    </row>
    <row r="165" spans="1:23" x14ac:dyDescent="0.2">
      <c r="A165">
        <v>164</v>
      </c>
      <c r="B165" t="s">
        <v>424</v>
      </c>
      <c r="C165">
        <v>2021</v>
      </c>
      <c r="D165" t="s">
        <v>425</v>
      </c>
      <c r="E165">
        <v>59</v>
      </c>
      <c r="F165" t="s">
        <v>426</v>
      </c>
      <c r="G165" s="4">
        <v>98</v>
      </c>
      <c r="H165" s="20"/>
      <c r="I165" s="4"/>
      <c r="J165" s="4"/>
      <c r="K165" s="4">
        <v>0.52040816326530615</v>
      </c>
      <c r="L165" s="4"/>
      <c r="M165" s="4"/>
      <c r="N165" s="4"/>
      <c r="O165" s="4"/>
      <c r="P165" s="4"/>
      <c r="Q165" s="4"/>
      <c r="R165" s="4"/>
      <c r="S165" s="4"/>
      <c r="T165" s="4"/>
      <c r="U165" s="4"/>
      <c r="V165" s="4"/>
      <c r="W165" s="4"/>
    </row>
    <row r="166" spans="1:23" x14ac:dyDescent="0.2">
      <c r="A166">
        <v>165</v>
      </c>
      <c r="B166" t="s">
        <v>427</v>
      </c>
      <c r="C166">
        <v>2021</v>
      </c>
      <c r="D166" t="s">
        <v>224</v>
      </c>
      <c r="E166">
        <v>16</v>
      </c>
      <c r="F166" t="s">
        <v>428</v>
      </c>
      <c r="G166" s="4">
        <v>369</v>
      </c>
      <c r="H166" s="20"/>
      <c r="I166" s="4"/>
      <c r="J166" s="4"/>
      <c r="K166" s="4"/>
      <c r="L166" s="4"/>
      <c r="M166" s="4"/>
      <c r="N166" s="4"/>
      <c r="O166" s="4">
        <v>0.55000000000000004</v>
      </c>
      <c r="P166" s="4"/>
      <c r="Q166" s="4"/>
      <c r="R166" s="4"/>
      <c r="S166" s="4"/>
      <c r="T166" s="4"/>
      <c r="U166" s="4"/>
      <c r="V166" s="4"/>
      <c r="W166" s="4"/>
    </row>
    <row r="167" spans="1:23" x14ac:dyDescent="0.2">
      <c r="A167" s="1">
        <v>166</v>
      </c>
      <c r="B167" t="s">
        <v>429</v>
      </c>
      <c r="C167">
        <v>2019</v>
      </c>
      <c r="D167" t="s">
        <v>430</v>
      </c>
      <c r="E167">
        <v>76</v>
      </c>
      <c r="F167" t="s">
        <v>431</v>
      </c>
      <c r="G167" s="4">
        <v>182</v>
      </c>
      <c r="H167" s="20"/>
      <c r="I167" s="4"/>
      <c r="J167" s="4"/>
      <c r="K167" s="4"/>
      <c r="L167" s="4"/>
      <c r="M167" s="4"/>
      <c r="N167" s="4"/>
      <c r="O167" s="4">
        <v>0.10989010989010989</v>
      </c>
      <c r="P167" s="4"/>
      <c r="Q167" s="4"/>
      <c r="R167" s="4"/>
      <c r="S167" s="4"/>
      <c r="T167" s="4"/>
      <c r="U167" s="4"/>
      <c r="V167" s="4"/>
      <c r="W167" s="4"/>
    </row>
    <row r="168" spans="1:23" x14ac:dyDescent="0.2">
      <c r="A168">
        <v>167</v>
      </c>
      <c r="B168" t="s">
        <v>432</v>
      </c>
      <c r="C168">
        <v>2019</v>
      </c>
      <c r="D168" t="s">
        <v>433</v>
      </c>
      <c r="E168">
        <v>51</v>
      </c>
      <c r="F168" t="s">
        <v>434</v>
      </c>
      <c r="G168" s="4">
        <v>3519</v>
      </c>
      <c r="H168" s="20"/>
      <c r="I168" s="4"/>
      <c r="J168" s="4"/>
      <c r="K168" s="4">
        <v>0.27053140096618356</v>
      </c>
      <c r="L168" s="4"/>
      <c r="M168" s="4"/>
      <c r="N168" s="4"/>
      <c r="O168" s="4"/>
      <c r="P168" s="4"/>
      <c r="Q168" s="4"/>
      <c r="R168" s="4"/>
      <c r="S168" s="4"/>
      <c r="T168" s="4"/>
      <c r="U168" s="4"/>
      <c r="V168" s="4"/>
      <c r="W168" s="4"/>
    </row>
    <row r="169" spans="1:23" x14ac:dyDescent="0.2">
      <c r="A169" s="1">
        <v>168</v>
      </c>
      <c r="B169" t="s">
        <v>435</v>
      </c>
      <c r="C169">
        <v>2018</v>
      </c>
      <c r="D169" t="s">
        <v>436</v>
      </c>
      <c r="E169">
        <v>27</v>
      </c>
      <c r="F169" t="s">
        <v>437</v>
      </c>
      <c r="G169" s="4">
        <v>8732</v>
      </c>
      <c r="H169" s="20"/>
      <c r="I169" s="4"/>
      <c r="J169" s="4"/>
      <c r="K169" s="4"/>
      <c r="L169" s="4"/>
      <c r="M169" s="4"/>
      <c r="N169" s="4"/>
      <c r="O169" s="4">
        <v>0.22079706825469536</v>
      </c>
      <c r="P169" s="4"/>
      <c r="Q169" s="4"/>
      <c r="R169" s="4"/>
      <c r="S169" s="4"/>
      <c r="T169" s="4"/>
      <c r="U169" s="4"/>
      <c r="V169" s="4"/>
      <c r="W169" s="4"/>
    </row>
    <row r="170" spans="1:23" s="14" customFormat="1" x14ac:dyDescent="0.2">
      <c r="A170" s="14">
        <v>169</v>
      </c>
      <c r="B170" s="14" t="s">
        <v>438</v>
      </c>
      <c r="C170" s="14">
        <v>2017</v>
      </c>
      <c r="D170" s="14" t="s">
        <v>25</v>
      </c>
      <c r="E170" s="14">
        <v>40</v>
      </c>
      <c r="F170" s="14" t="s">
        <v>439</v>
      </c>
      <c r="G170" s="15">
        <v>37348</v>
      </c>
      <c r="H170" s="15"/>
      <c r="I170" s="15" t="s">
        <v>571</v>
      </c>
      <c r="J170" s="15"/>
      <c r="K170" s="15"/>
      <c r="L170" s="15"/>
      <c r="M170" s="15"/>
      <c r="N170" s="15"/>
      <c r="O170" s="15"/>
      <c r="P170" s="15"/>
      <c r="Q170" s="15"/>
      <c r="R170" s="15"/>
      <c r="S170" s="15"/>
      <c r="T170" s="15"/>
      <c r="U170" s="15"/>
      <c r="V170" s="15"/>
      <c r="W170" s="15"/>
    </row>
    <row r="171" spans="1:23" x14ac:dyDescent="0.2">
      <c r="A171">
        <v>170</v>
      </c>
      <c r="B171" t="s">
        <v>440</v>
      </c>
      <c r="C171">
        <v>2013</v>
      </c>
      <c r="D171" t="s">
        <v>219</v>
      </c>
      <c r="E171">
        <v>17</v>
      </c>
      <c r="F171" t="s">
        <v>441</v>
      </c>
      <c r="G171" s="4">
        <v>54</v>
      </c>
      <c r="H171" s="20">
        <v>13</v>
      </c>
      <c r="I171" s="4">
        <v>0.24074074074074073</v>
      </c>
      <c r="J171" s="4"/>
      <c r="K171" s="4"/>
      <c r="L171" s="4"/>
      <c r="M171" s="4"/>
      <c r="N171" s="4"/>
      <c r="O171" s="4"/>
      <c r="P171" s="4"/>
      <c r="Q171" s="4"/>
      <c r="R171" s="4"/>
      <c r="S171" s="4"/>
      <c r="T171" s="4"/>
      <c r="U171" s="4"/>
      <c r="V171" s="4"/>
      <c r="W171" s="4"/>
    </row>
    <row r="172" spans="1:23" x14ac:dyDescent="0.2">
      <c r="A172">
        <v>171</v>
      </c>
      <c r="B172" t="s">
        <v>442</v>
      </c>
      <c r="C172">
        <v>2013</v>
      </c>
      <c r="D172" t="s">
        <v>227</v>
      </c>
      <c r="E172">
        <v>41</v>
      </c>
      <c r="F172" t="s">
        <v>443</v>
      </c>
      <c r="G172" s="4">
        <v>621</v>
      </c>
      <c r="H172" s="20"/>
      <c r="I172" s="4"/>
      <c r="J172" s="4">
        <v>0.42499999999999999</v>
      </c>
      <c r="K172" s="4"/>
      <c r="L172" s="4"/>
      <c r="M172" s="4"/>
      <c r="N172" s="4"/>
      <c r="O172" s="4">
        <v>0.24</v>
      </c>
      <c r="P172" s="4"/>
      <c r="Q172" s="4"/>
      <c r="R172" s="4"/>
      <c r="S172" s="4"/>
      <c r="T172" s="4"/>
      <c r="U172" s="4"/>
      <c r="V172" s="4"/>
      <c r="W172" s="4"/>
    </row>
    <row r="173" spans="1:23" x14ac:dyDescent="0.2">
      <c r="A173">
        <v>172</v>
      </c>
      <c r="B173" t="s">
        <v>444</v>
      </c>
      <c r="C173">
        <v>2010</v>
      </c>
      <c r="D173" t="s">
        <v>445</v>
      </c>
      <c r="E173">
        <v>58</v>
      </c>
      <c r="F173" t="s">
        <v>446</v>
      </c>
      <c r="G173" s="4">
        <v>101</v>
      </c>
      <c r="H173" s="20">
        <v>56</v>
      </c>
      <c r="I173" s="4">
        <v>0.5544554455445545</v>
      </c>
      <c r="J173" s="4"/>
      <c r="K173" s="4"/>
      <c r="L173" s="4"/>
      <c r="M173" s="4"/>
      <c r="N173" s="4"/>
      <c r="O173" s="4"/>
      <c r="P173" s="4"/>
      <c r="Q173" s="4"/>
      <c r="R173" s="4"/>
      <c r="S173" s="4"/>
      <c r="T173" s="4"/>
      <c r="U173" s="4"/>
      <c r="V173" s="4"/>
      <c r="W173" s="4"/>
    </row>
    <row r="174" spans="1:23" x14ac:dyDescent="0.2">
      <c r="A174">
        <v>173</v>
      </c>
      <c r="B174" t="s">
        <v>447</v>
      </c>
      <c r="C174">
        <v>2010</v>
      </c>
      <c r="D174" t="s">
        <v>308</v>
      </c>
      <c r="E174">
        <v>137</v>
      </c>
      <c r="F174" t="s">
        <v>448</v>
      </c>
      <c r="G174" s="4">
        <v>161</v>
      </c>
      <c r="H174" s="20"/>
      <c r="I174" s="4"/>
      <c r="J174" s="4"/>
      <c r="K174" s="4">
        <v>0.2608695652173913</v>
      </c>
      <c r="L174" s="4"/>
      <c r="M174" s="4"/>
      <c r="N174" s="4"/>
      <c r="O174" s="4"/>
      <c r="P174" s="4"/>
      <c r="Q174" s="4"/>
      <c r="R174" s="4"/>
      <c r="S174" s="4"/>
      <c r="T174" s="4"/>
      <c r="U174" s="4"/>
      <c r="V174" s="4"/>
      <c r="W174" s="4"/>
    </row>
    <row r="175" spans="1:23" x14ac:dyDescent="0.2">
      <c r="A175" s="1">
        <v>174</v>
      </c>
      <c r="B175" t="s">
        <v>449</v>
      </c>
      <c r="C175">
        <v>2012</v>
      </c>
      <c r="D175" t="s">
        <v>202</v>
      </c>
      <c r="E175">
        <v>31</v>
      </c>
      <c r="F175" t="s">
        <v>450</v>
      </c>
      <c r="G175" s="4">
        <v>64</v>
      </c>
      <c r="H175" s="20">
        <v>13</v>
      </c>
      <c r="I175" s="4">
        <v>0.203125</v>
      </c>
      <c r="J175" s="4"/>
      <c r="K175" s="4"/>
      <c r="L175" s="4"/>
      <c r="M175" s="4"/>
      <c r="N175" s="4"/>
      <c r="O175" s="4"/>
      <c r="P175" s="4"/>
      <c r="Q175" s="4"/>
      <c r="R175" s="4"/>
      <c r="S175" s="4"/>
      <c r="T175" s="4"/>
      <c r="U175" s="4"/>
      <c r="V175" s="4"/>
      <c r="W175" s="4"/>
    </row>
    <row r="176" spans="1:23" x14ac:dyDescent="0.2">
      <c r="A176">
        <v>175</v>
      </c>
      <c r="B176" t="s">
        <v>451</v>
      </c>
      <c r="C176">
        <v>2012</v>
      </c>
      <c r="D176" t="s">
        <v>452</v>
      </c>
      <c r="E176">
        <v>42</v>
      </c>
      <c r="F176" t="s">
        <v>453</v>
      </c>
      <c r="G176" s="4">
        <v>40</v>
      </c>
      <c r="H176" s="20">
        <v>15</v>
      </c>
      <c r="I176" s="4">
        <v>0.375</v>
      </c>
      <c r="J176" s="4"/>
      <c r="K176" s="4"/>
      <c r="L176" s="4"/>
      <c r="M176" s="4"/>
      <c r="N176" s="4"/>
      <c r="O176" s="4"/>
      <c r="P176" s="4"/>
      <c r="Q176" s="4"/>
      <c r="R176" s="4"/>
      <c r="S176" s="4"/>
      <c r="T176" s="4"/>
      <c r="U176" s="4"/>
      <c r="V176" s="4"/>
      <c r="W176" s="4"/>
    </row>
    <row r="177" spans="1:23" s="14" customFormat="1" x14ac:dyDescent="0.2">
      <c r="A177" s="14">
        <v>176</v>
      </c>
      <c r="B177" s="14" t="s">
        <v>454</v>
      </c>
      <c r="C177" s="14">
        <v>2012</v>
      </c>
      <c r="D177" s="14" t="s">
        <v>183</v>
      </c>
      <c r="E177" s="14">
        <v>185</v>
      </c>
      <c r="F177" s="14" t="s">
        <v>455</v>
      </c>
      <c r="G177" s="15"/>
      <c r="H177" s="15"/>
      <c r="I177" s="15"/>
      <c r="J177" s="15"/>
      <c r="K177" s="15"/>
      <c r="L177" s="15"/>
      <c r="M177" s="15"/>
      <c r="N177" s="15"/>
      <c r="O177" s="15"/>
      <c r="P177" s="15"/>
      <c r="Q177" s="15"/>
      <c r="R177" s="15"/>
      <c r="S177" s="15"/>
      <c r="T177" s="15"/>
      <c r="U177" s="15"/>
      <c r="V177" s="15"/>
      <c r="W177" s="15"/>
    </row>
    <row r="178" spans="1:23" s="14" customFormat="1" x14ac:dyDescent="0.2">
      <c r="A178" s="14">
        <v>177</v>
      </c>
      <c r="B178" s="14" t="s">
        <v>456</v>
      </c>
      <c r="C178" s="14">
        <v>2011</v>
      </c>
      <c r="D178" s="14" t="s">
        <v>176</v>
      </c>
      <c r="E178" s="14">
        <v>37</v>
      </c>
      <c r="F178" s="14" t="s">
        <v>457</v>
      </c>
      <c r="G178" s="15">
        <v>84</v>
      </c>
      <c r="H178" s="15">
        <v>47</v>
      </c>
      <c r="I178" s="15" t="s">
        <v>579</v>
      </c>
      <c r="J178" s="15"/>
      <c r="K178" s="15"/>
      <c r="L178" s="15"/>
      <c r="M178" s="15"/>
      <c r="N178" s="15"/>
      <c r="O178" s="15"/>
      <c r="P178" s="15"/>
      <c r="Q178" s="15"/>
      <c r="R178" s="15"/>
      <c r="S178" s="15"/>
      <c r="T178" s="15"/>
      <c r="U178" s="15"/>
      <c r="V178" s="15"/>
      <c r="W178" s="15"/>
    </row>
    <row r="179" spans="1:23" s="14" customFormat="1" x14ac:dyDescent="0.2">
      <c r="A179" s="14">
        <v>178</v>
      </c>
      <c r="B179" s="14" t="s">
        <v>458</v>
      </c>
      <c r="C179" s="14">
        <v>2023</v>
      </c>
      <c r="D179" s="14" t="s">
        <v>459</v>
      </c>
      <c r="E179" s="14">
        <v>11</v>
      </c>
      <c r="F179" s="14" t="s">
        <v>460</v>
      </c>
      <c r="G179" s="15"/>
      <c r="H179" s="15" t="s">
        <v>580</v>
      </c>
      <c r="I179" s="15"/>
      <c r="J179" s="15"/>
      <c r="K179" s="15"/>
      <c r="L179" s="15"/>
      <c r="M179" s="15"/>
      <c r="N179" s="15"/>
      <c r="O179" s="15"/>
      <c r="P179" s="15"/>
      <c r="Q179" s="15"/>
      <c r="R179" s="15"/>
      <c r="S179" s="15"/>
      <c r="T179" s="15"/>
      <c r="U179" s="15"/>
      <c r="V179" s="15"/>
      <c r="W179" s="15"/>
    </row>
    <row r="180" spans="1:23" s="10" customFormat="1" x14ac:dyDescent="0.2">
      <c r="A180" s="10">
        <v>179</v>
      </c>
      <c r="B180" s="10" t="s">
        <v>461</v>
      </c>
      <c r="C180" s="10">
        <v>2023</v>
      </c>
      <c r="D180" s="10" t="s">
        <v>462</v>
      </c>
      <c r="E180" s="10">
        <v>388</v>
      </c>
      <c r="F180" s="10" t="s">
        <v>463</v>
      </c>
      <c r="G180" s="11">
        <v>795</v>
      </c>
      <c r="H180" s="20"/>
      <c r="I180" s="11"/>
      <c r="J180" s="11">
        <v>9.056603773584905E-2</v>
      </c>
      <c r="K180" s="11"/>
      <c r="L180" s="11"/>
      <c r="M180" s="11"/>
      <c r="N180" s="11"/>
      <c r="O180" s="11"/>
      <c r="P180" s="11"/>
      <c r="Q180" s="11"/>
      <c r="R180" s="11"/>
      <c r="S180" s="11"/>
      <c r="T180" s="11"/>
      <c r="U180" s="11"/>
      <c r="V180" s="11"/>
      <c r="W180" s="11"/>
    </row>
    <row r="181" spans="1:23" s="14" customFormat="1" x14ac:dyDescent="0.2">
      <c r="A181" s="14">
        <v>180</v>
      </c>
      <c r="B181" s="14" t="s">
        <v>464</v>
      </c>
      <c r="C181" s="14">
        <v>2013</v>
      </c>
      <c r="D181" s="14" t="s">
        <v>193</v>
      </c>
      <c r="E181" s="14">
        <v>28</v>
      </c>
      <c r="F181" s="14" t="s">
        <v>465</v>
      </c>
      <c r="G181" s="15">
        <v>108</v>
      </c>
      <c r="H181" s="15" t="s">
        <v>573</v>
      </c>
      <c r="I181" s="15"/>
      <c r="J181" s="15"/>
      <c r="K181" s="15"/>
      <c r="L181" s="15"/>
      <c r="M181" s="15"/>
      <c r="N181" s="15"/>
      <c r="O181" s="15"/>
      <c r="P181" s="15"/>
      <c r="Q181" s="15"/>
      <c r="R181" s="15"/>
      <c r="S181" s="15"/>
      <c r="T181" s="15"/>
      <c r="U181" s="15"/>
      <c r="V181" s="15"/>
      <c r="W181" s="15"/>
    </row>
    <row r="182" spans="1:23" x14ac:dyDescent="0.2">
      <c r="A182" s="1">
        <v>181</v>
      </c>
      <c r="B182" t="s">
        <v>466</v>
      </c>
      <c r="C182">
        <v>2010</v>
      </c>
      <c r="D182" t="s">
        <v>230</v>
      </c>
      <c r="E182">
        <v>25</v>
      </c>
      <c r="F182" t="s">
        <v>467</v>
      </c>
      <c r="G182" s="4">
        <v>64</v>
      </c>
      <c r="H182" s="20"/>
      <c r="I182" s="4">
        <v>0.125</v>
      </c>
      <c r="J182" s="4"/>
      <c r="K182" s="4"/>
      <c r="L182" s="4"/>
      <c r="M182" s="4"/>
      <c r="N182" s="4"/>
      <c r="O182" s="4">
        <v>0.21875</v>
      </c>
      <c r="P182" s="4"/>
      <c r="Q182" s="4"/>
      <c r="R182" s="4"/>
      <c r="S182" s="4"/>
      <c r="T182" s="4"/>
      <c r="U182" s="4"/>
      <c r="V182" s="4"/>
      <c r="W182" s="4"/>
    </row>
    <row r="183" spans="1:23" x14ac:dyDescent="0.2">
      <c r="A183" s="1">
        <v>182</v>
      </c>
      <c r="B183" t="s">
        <v>468</v>
      </c>
      <c r="C183">
        <v>2005</v>
      </c>
      <c r="D183" t="s">
        <v>469</v>
      </c>
      <c r="E183">
        <v>41</v>
      </c>
      <c r="F183" t="s">
        <v>470</v>
      </c>
      <c r="G183" s="4">
        <v>529</v>
      </c>
      <c r="H183" s="20">
        <v>148</v>
      </c>
      <c r="I183" s="4">
        <v>0.27977315689981097</v>
      </c>
      <c r="J183" s="4"/>
      <c r="K183" s="4"/>
      <c r="L183" s="4"/>
      <c r="M183" s="4"/>
      <c r="N183" s="4"/>
      <c r="O183" s="4"/>
      <c r="P183" s="4"/>
      <c r="Q183" s="4"/>
      <c r="R183" s="4"/>
      <c r="S183" s="4"/>
      <c r="T183" s="4"/>
      <c r="U183" s="4"/>
      <c r="V183" s="4"/>
      <c r="W183" s="4"/>
    </row>
    <row r="184" spans="1:23" s="14" customFormat="1" x14ac:dyDescent="0.2">
      <c r="A184" s="1">
        <v>183</v>
      </c>
      <c r="B184" s="14" t="s">
        <v>471</v>
      </c>
      <c r="C184" s="14">
        <v>2017</v>
      </c>
      <c r="D184" s="14" t="s">
        <v>183</v>
      </c>
      <c r="E184" s="14">
        <v>195</v>
      </c>
      <c r="F184" s="14" t="s">
        <v>472</v>
      </c>
      <c r="G184" s="15">
        <v>115</v>
      </c>
      <c r="H184" s="15"/>
      <c r="I184" s="15">
        <v>0.24347826086956523</v>
      </c>
      <c r="J184" s="15" t="s">
        <v>574</v>
      </c>
      <c r="K184" s="15"/>
      <c r="L184" s="15"/>
      <c r="M184" s="15"/>
      <c r="N184" s="15"/>
      <c r="O184" s="15"/>
      <c r="P184" s="15"/>
      <c r="Q184" s="15"/>
      <c r="R184" s="15"/>
      <c r="S184" s="15"/>
      <c r="T184" s="15"/>
      <c r="U184" s="15"/>
      <c r="V184" s="15"/>
      <c r="W184" s="15"/>
    </row>
    <row r="185" spans="1:23" x14ac:dyDescent="0.2">
      <c r="A185">
        <v>184</v>
      </c>
      <c r="B185" t="s">
        <v>473</v>
      </c>
      <c r="C185">
        <v>2016</v>
      </c>
      <c r="D185" t="s">
        <v>459</v>
      </c>
      <c r="E185">
        <v>4</v>
      </c>
      <c r="F185" t="s">
        <v>474</v>
      </c>
      <c r="G185" s="4">
        <v>179</v>
      </c>
      <c r="H185" s="20"/>
      <c r="I185" s="4">
        <v>0.24</v>
      </c>
      <c r="J185" s="4"/>
      <c r="K185" s="4">
        <v>0.318</v>
      </c>
      <c r="L185" s="4"/>
      <c r="M185" s="4"/>
      <c r="N185" s="4"/>
      <c r="O185" s="4"/>
      <c r="P185" s="4"/>
      <c r="Q185" s="4"/>
      <c r="R185" s="4"/>
      <c r="S185" s="4"/>
      <c r="T185" s="4"/>
      <c r="U185" s="4"/>
      <c r="V185" s="4"/>
      <c r="W185" s="4"/>
    </row>
    <row r="186" spans="1:23" x14ac:dyDescent="0.2">
      <c r="A186" s="1">
        <v>185</v>
      </c>
      <c r="B186" t="s">
        <v>475</v>
      </c>
      <c r="C186">
        <v>2014</v>
      </c>
      <c r="D186" t="s">
        <v>308</v>
      </c>
      <c r="E186">
        <v>146</v>
      </c>
      <c r="F186" t="s">
        <v>476</v>
      </c>
      <c r="G186" s="4" t="s">
        <v>575</v>
      </c>
      <c r="H186" s="20"/>
      <c r="I186" s="4"/>
      <c r="J186" s="4"/>
      <c r="K186" s="4"/>
      <c r="L186" s="4"/>
      <c r="M186" s="4"/>
      <c r="N186" s="4"/>
      <c r="O186" s="4"/>
      <c r="P186" s="4"/>
      <c r="Q186" s="4"/>
      <c r="R186" s="4"/>
      <c r="S186" s="4"/>
      <c r="T186" s="4"/>
      <c r="U186" s="4"/>
      <c r="V186" s="4"/>
      <c r="W186" s="4"/>
    </row>
    <row r="187" spans="1:23" x14ac:dyDescent="0.2">
      <c r="A187">
        <v>186</v>
      </c>
      <c r="B187" t="s">
        <v>477</v>
      </c>
      <c r="C187">
        <v>2014</v>
      </c>
      <c r="D187" t="s">
        <v>100</v>
      </c>
      <c r="E187">
        <v>38</v>
      </c>
      <c r="F187" t="s">
        <v>478</v>
      </c>
      <c r="G187" s="4">
        <v>37</v>
      </c>
      <c r="H187" s="20"/>
      <c r="I187" s="4">
        <v>0.26700000000000002</v>
      </c>
      <c r="J187" s="4"/>
      <c r="K187" s="4"/>
      <c r="L187" s="4"/>
      <c r="M187" s="4"/>
      <c r="N187" s="4"/>
      <c r="O187" s="4"/>
      <c r="P187" s="4"/>
      <c r="Q187" s="4"/>
      <c r="R187" s="4"/>
      <c r="S187" s="4"/>
      <c r="T187" s="4"/>
      <c r="U187" s="4"/>
      <c r="V187" s="4"/>
      <c r="W187" s="4"/>
    </row>
    <row r="188" spans="1:23" x14ac:dyDescent="0.2">
      <c r="A188">
        <v>187</v>
      </c>
      <c r="B188" t="s">
        <v>479</v>
      </c>
      <c r="C188">
        <v>2013</v>
      </c>
      <c r="D188" t="s">
        <v>480</v>
      </c>
      <c r="E188">
        <v>4</v>
      </c>
      <c r="F188" t="s">
        <v>481</v>
      </c>
      <c r="G188" s="4">
        <v>65</v>
      </c>
      <c r="H188" s="20"/>
      <c r="I188" s="4"/>
      <c r="J188" s="4"/>
      <c r="K188" s="4">
        <v>0.4</v>
      </c>
      <c r="L188" s="4"/>
      <c r="M188" s="4"/>
      <c r="N188" s="4"/>
      <c r="O188" s="4"/>
      <c r="P188" s="4"/>
      <c r="Q188" s="4"/>
      <c r="R188" s="4"/>
      <c r="S188" s="4"/>
      <c r="T188" s="4"/>
      <c r="U188" s="4"/>
      <c r="V188" s="4"/>
      <c r="W188" s="4"/>
    </row>
    <row r="189" spans="1:23" x14ac:dyDescent="0.2">
      <c r="A189">
        <v>188</v>
      </c>
      <c r="B189" t="s">
        <v>482</v>
      </c>
      <c r="C189">
        <v>2013</v>
      </c>
      <c r="D189" t="s">
        <v>483</v>
      </c>
      <c r="E189">
        <v>58</v>
      </c>
      <c r="F189" t="s">
        <v>484</v>
      </c>
      <c r="G189" s="4">
        <v>40</v>
      </c>
      <c r="H189" s="20">
        <v>15</v>
      </c>
      <c r="I189" s="4">
        <v>0.375</v>
      </c>
      <c r="J189" s="4"/>
      <c r="K189" s="4"/>
      <c r="L189" s="4"/>
      <c r="M189" s="4"/>
      <c r="N189" s="4"/>
      <c r="O189" s="4"/>
      <c r="P189" s="4"/>
      <c r="Q189" s="4"/>
      <c r="R189" s="4"/>
      <c r="S189" s="4"/>
      <c r="T189" s="4"/>
      <c r="U189" s="4"/>
      <c r="V189" s="4"/>
      <c r="W189" s="4"/>
    </row>
    <row r="190" spans="1:23" x14ac:dyDescent="0.2">
      <c r="A190" s="1">
        <v>189</v>
      </c>
      <c r="B190" t="s">
        <v>485</v>
      </c>
      <c r="C190">
        <v>2013</v>
      </c>
      <c r="D190" t="s">
        <v>147</v>
      </c>
      <c r="E190">
        <v>42</v>
      </c>
      <c r="F190" t="s">
        <v>486</v>
      </c>
      <c r="G190" s="4">
        <v>96</v>
      </c>
      <c r="H190" s="20">
        <v>37</v>
      </c>
      <c r="I190" s="4">
        <v>0.38541666666666669</v>
      </c>
      <c r="J190" s="4"/>
      <c r="K190" s="4"/>
      <c r="L190" s="4"/>
      <c r="M190" s="4"/>
      <c r="N190" s="4"/>
      <c r="O190" s="4"/>
      <c r="P190" s="4"/>
      <c r="Q190" s="4"/>
      <c r="R190" s="4"/>
      <c r="S190" s="4"/>
      <c r="T190" s="4"/>
      <c r="U190" s="4"/>
      <c r="V190" s="4"/>
      <c r="W190" s="4"/>
    </row>
    <row r="191" spans="1:23" x14ac:dyDescent="0.2">
      <c r="A191">
        <v>190</v>
      </c>
      <c r="B191" t="s">
        <v>487</v>
      </c>
      <c r="C191">
        <v>2023</v>
      </c>
      <c r="D191" t="s">
        <v>488</v>
      </c>
      <c r="E191">
        <v>19</v>
      </c>
      <c r="F191" t="s">
        <v>489</v>
      </c>
      <c r="G191" s="4">
        <v>177</v>
      </c>
      <c r="H191" s="20"/>
      <c r="I191" s="4"/>
      <c r="J191" s="4"/>
      <c r="K191" s="4"/>
      <c r="L191" s="4"/>
      <c r="M191" s="4"/>
      <c r="N191" s="4"/>
      <c r="O191" s="4">
        <v>0.46700000000000003</v>
      </c>
      <c r="P191" s="4"/>
      <c r="Q191" s="4"/>
      <c r="R191" s="4"/>
      <c r="S191" s="4"/>
      <c r="T191" s="4"/>
      <c r="U191" s="4"/>
      <c r="V191" s="4"/>
      <c r="W191" s="4"/>
    </row>
    <row r="192" spans="1:23" x14ac:dyDescent="0.2">
      <c r="A192" s="1">
        <v>191</v>
      </c>
      <c r="B192" t="s">
        <v>490</v>
      </c>
      <c r="C192">
        <v>2022</v>
      </c>
      <c r="D192" t="s">
        <v>491</v>
      </c>
      <c r="E192">
        <v>20</v>
      </c>
      <c r="F192" t="s">
        <v>492</v>
      </c>
      <c r="G192" s="4">
        <v>128</v>
      </c>
      <c r="H192" s="20"/>
      <c r="I192" s="4"/>
      <c r="J192" s="4"/>
      <c r="K192" s="4"/>
      <c r="L192" s="4"/>
      <c r="M192" s="4"/>
      <c r="N192" s="4"/>
      <c r="O192" s="4"/>
      <c r="P192" s="4"/>
      <c r="Q192" s="4"/>
      <c r="R192" s="4"/>
      <c r="S192" s="4"/>
      <c r="T192" s="4"/>
      <c r="U192" s="4"/>
      <c r="V192" s="4"/>
      <c r="W192" s="4"/>
    </row>
    <row r="193" spans="1:23" x14ac:dyDescent="0.2">
      <c r="A193">
        <v>192</v>
      </c>
      <c r="B193" t="s">
        <v>493</v>
      </c>
      <c r="C193">
        <v>2022</v>
      </c>
      <c r="D193" t="s">
        <v>147</v>
      </c>
      <c r="E193">
        <v>59</v>
      </c>
      <c r="F193" t="s">
        <v>494</v>
      </c>
      <c r="G193" s="4">
        <v>165</v>
      </c>
      <c r="H193" s="20">
        <v>28</v>
      </c>
      <c r="I193" s="4">
        <v>0.16969696969696971</v>
      </c>
      <c r="J193" s="4"/>
      <c r="K193" s="4">
        <v>0.26060606060606062</v>
      </c>
      <c r="L193" s="4">
        <v>0.32121212121212123</v>
      </c>
      <c r="M193" s="4">
        <v>0.36363636363636365</v>
      </c>
      <c r="N193" s="4"/>
      <c r="O193" s="4">
        <v>0.25454545454545452</v>
      </c>
      <c r="P193" s="4"/>
      <c r="Q193" s="4"/>
      <c r="R193" s="4"/>
      <c r="S193" s="4"/>
      <c r="T193" s="4"/>
      <c r="U193" s="4"/>
      <c r="V193" s="4"/>
      <c r="W193" s="4"/>
    </row>
    <row r="194" spans="1:23" s="14" customFormat="1" x14ac:dyDescent="0.2">
      <c r="A194" s="14">
        <v>193</v>
      </c>
      <c r="B194" s="14" t="s">
        <v>495</v>
      </c>
      <c r="C194" s="14">
        <v>2019</v>
      </c>
      <c r="D194" s="14" t="s">
        <v>496</v>
      </c>
      <c r="E194" s="14">
        <v>20</v>
      </c>
      <c r="F194" s="14" t="s">
        <v>497</v>
      </c>
      <c r="G194" s="15"/>
      <c r="H194" s="15" t="s">
        <v>573</v>
      </c>
      <c r="I194" s="15"/>
      <c r="J194" s="15"/>
      <c r="K194" s="15"/>
      <c r="L194" s="15"/>
      <c r="M194" s="15"/>
      <c r="N194" s="15"/>
      <c r="O194" s="15"/>
      <c r="P194" s="15"/>
      <c r="Q194" s="15"/>
      <c r="R194" s="15"/>
      <c r="S194" s="15"/>
      <c r="T194" s="15"/>
      <c r="U194" s="15"/>
      <c r="V194" s="15"/>
      <c r="W194" s="15"/>
    </row>
    <row r="195" spans="1:23" s="14" customFormat="1" x14ac:dyDescent="0.2">
      <c r="A195" s="1">
        <v>194</v>
      </c>
      <c r="B195" s="14" t="s">
        <v>498</v>
      </c>
      <c r="C195" s="14">
        <v>2019</v>
      </c>
      <c r="D195" s="14" t="s">
        <v>119</v>
      </c>
      <c r="E195" s="14">
        <v>47</v>
      </c>
      <c r="F195" s="14" t="s">
        <v>499</v>
      </c>
      <c r="G195" s="15">
        <v>182</v>
      </c>
      <c r="H195" s="15" t="s">
        <v>576</v>
      </c>
      <c r="I195" s="15"/>
      <c r="J195" s="15"/>
      <c r="K195" s="15"/>
      <c r="L195" s="15"/>
      <c r="M195" s="15"/>
      <c r="N195" s="15"/>
      <c r="O195" s="15"/>
      <c r="P195" s="15"/>
      <c r="Q195" s="15"/>
      <c r="R195" s="15"/>
      <c r="S195" s="15"/>
      <c r="T195" s="15"/>
      <c r="U195" s="15"/>
      <c r="V195" s="15"/>
      <c r="W195" s="15"/>
    </row>
    <row r="196" spans="1:23" x14ac:dyDescent="0.2">
      <c r="A196">
        <v>195</v>
      </c>
      <c r="B196" t="s">
        <v>500</v>
      </c>
      <c r="C196">
        <v>2019</v>
      </c>
      <c r="D196" t="s">
        <v>119</v>
      </c>
      <c r="E196">
        <v>47</v>
      </c>
      <c r="F196" t="s">
        <v>501</v>
      </c>
      <c r="G196" s="4">
        <v>169</v>
      </c>
      <c r="H196" s="20">
        <v>18</v>
      </c>
      <c r="I196" s="4">
        <v>0.1005586592178771</v>
      </c>
      <c r="J196" s="4"/>
      <c r="K196" s="4"/>
      <c r="L196" s="4"/>
      <c r="M196" s="4"/>
      <c r="N196" s="4"/>
      <c r="O196" s="4">
        <v>0.19526627218934911</v>
      </c>
      <c r="P196" s="4"/>
      <c r="Q196" s="4"/>
      <c r="R196" s="4"/>
      <c r="S196" s="4"/>
      <c r="T196" s="4"/>
      <c r="U196" s="4"/>
      <c r="V196" s="4"/>
      <c r="W196" s="4"/>
    </row>
    <row r="197" spans="1:23" x14ac:dyDescent="0.2">
      <c r="A197">
        <v>196</v>
      </c>
      <c r="B197" t="s">
        <v>502</v>
      </c>
      <c r="C197">
        <v>2018</v>
      </c>
      <c r="D197" t="s">
        <v>147</v>
      </c>
      <c r="E197">
        <v>51</v>
      </c>
      <c r="F197" t="s">
        <v>503</v>
      </c>
      <c r="G197" s="4">
        <v>432</v>
      </c>
      <c r="H197" s="20">
        <v>107</v>
      </c>
      <c r="I197" s="4">
        <v>0.24768518518518517</v>
      </c>
      <c r="J197" s="4"/>
      <c r="K197" s="4">
        <v>0.31018518518518517</v>
      </c>
      <c r="L197" s="4"/>
      <c r="M197" s="4"/>
      <c r="N197" s="4"/>
      <c r="O197" s="4">
        <v>0.28240740740740738</v>
      </c>
      <c r="P197" s="4"/>
      <c r="Q197" s="4"/>
      <c r="R197" s="4"/>
      <c r="S197" s="4"/>
      <c r="T197" s="4"/>
      <c r="U197" s="4"/>
      <c r="V197" s="4"/>
      <c r="W197" s="4"/>
    </row>
    <row r="198" spans="1:23" x14ac:dyDescent="0.2">
      <c r="A198">
        <v>197</v>
      </c>
      <c r="B198" t="s">
        <v>504</v>
      </c>
      <c r="C198">
        <v>2018</v>
      </c>
      <c r="D198" t="s">
        <v>55</v>
      </c>
      <c r="E198">
        <v>8</v>
      </c>
      <c r="F198" t="s">
        <v>505</v>
      </c>
      <c r="G198" s="4">
        <v>65</v>
      </c>
      <c r="H198" s="20"/>
      <c r="I198" s="4"/>
      <c r="J198" s="4"/>
      <c r="K198" s="4"/>
      <c r="L198" s="4">
        <v>0.30769230769230771</v>
      </c>
      <c r="M198" s="4"/>
      <c r="N198" s="4"/>
      <c r="O198" s="4">
        <v>0.28240740740740738</v>
      </c>
      <c r="P198" s="4"/>
      <c r="Q198" s="4"/>
      <c r="R198" s="4"/>
      <c r="S198" s="4"/>
      <c r="T198" s="4"/>
      <c r="U198" s="4"/>
      <c r="V198" s="4"/>
      <c r="W198" s="4"/>
    </row>
    <row r="199" spans="1:23" x14ac:dyDescent="0.2">
      <c r="A199">
        <v>198</v>
      </c>
      <c r="B199" t="s">
        <v>506</v>
      </c>
      <c r="C199">
        <v>2018</v>
      </c>
      <c r="D199" t="s">
        <v>230</v>
      </c>
      <c r="E199">
        <v>47</v>
      </c>
      <c r="F199" t="s">
        <v>507</v>
      </c>
      <c r="G199" s="4">
        <v>99</v>
      </c>
      <c r="H199" s="20"/>
      <c r="I199" s="4"/>
      <c r="J199" s="4"/>
      <c r="K199" s="4"/>
      <c r="L199" s="4"/>
      <c r="M199" s="4"/>
      <c r="N199" s="4"/>
      <c r="O199" s="4">
        <v>0.28282828282828282</v>
      </c>
      <c r="P199" s="4"/>
      <c r="Q199" s="4"/>
      <c r="R199" s="4"/>
      <c r="S199" s="4"/>
      <c r="T199" s="4"/>
      <c r="U199" s="4"/>
      <c r="V199" s="4"/>
      <c r="W199" s="4"/>
    </row>
    <row r="200" spans="1:23" x14ac:dyDescent="0.2">
      <c r="A200">
        <v>199</v>
      </c>
      <c r="B200" t="s">
        <v>508</v>
      </c>
      <c r="C200">
        <v>2022</v>
      </c>
      <c r="D200" t="s">
        <v>509</v>
      </c>
      <c r="E200">
        <v>52</v>
      </c>
      <c r="F200" t="s">
        <v>510</v>
      </c>
      <c r="G200" s="4">
        <v>185</v>
      </c>
      <c r="H200" s="20"/>
      <c r="I200" s="4"/>
      <c r="J200" s="4"/>
      <c r="K200" s="4">
        <v>0.08</v>
      </c>
      <c r="L200" s="4"/>
      <c r="M200" s="4"/>
      <c r="N200" s="4"/>
      <c r="O200" s="4">
        <v>7.0000000000000007E-2</v>
      </c>
      <c r="P200" s="4"/>
      <c r="Q200" s="4"/>
      <c r="R200" s="4"/>
      <c r="S200" s="4"/>
      <c r="T200" s="4"/>
      <c r="U200" s="4"/>
      <c r="V200" s="4"/>
      <c r="W200" s="4"/>
    </row>
    <row r="201" spans="1:23" x14ac:dyDescent="0.2">
      <c r="A201" s="1">
        <v>200</v>
      </c>
      <c r="B201" t="s">
        <v>511</v>
      </c>
      <c r="C201">
        <v>2019</v>
      </c>
      <c r="D201" t="s">
        <v>512</v>
      </c>
      <c r="E201">
        <v>41</v>
      </c>
      <c r="F201" t="s">
        <v>513</v>
      </c>
      <c r="G201" s="4">
        <v>94</v>
      </c>
      <c r="H201" s="20"/>
      <c r="I201" s="4"/>
      <c r="J201" s="4"/>
      <c r="K201" s="4"/>
      <c r="L201" s="4"/>
      <c r="M201" s="4"/>
      <c r="N201" s="4"/>
      <c r="O201" s="4">
        <v>7.4468085106382975E-2</v>
      </c>
      <c r="P201" s="4"/>
      <c r="Q201" s="4"/>
      <c r="R201" s="4"/>
      <c r="S201" s="4"/>
      <c r="T201" s="4"/>
      <c r="U201" s="4"/>
      <c r="V201" s="4"/>
      <c r="W201" s="4"/>
    </row>
    <row r="202" spans="1:23" x14ac:dyDescent="0.2">
      <c r="A202">
        <v>201</v>
      </c>
      <c r="B202" t="s">
        <v>514</v>
      </c>
      <c r="C202">
        <v>2021</v>
      </c>
      <c r="D202" t="s">
        <v>289</v>
      </c>
      <c r="E202">
        <v>25</v>
      </c>
      <c r="F202" t="s">
        <v>515</v>
      </c>
      <c r="G202" s="4">
        <v>3786</v>
      </c>
      <c r="H202" s="20">
        <v>1058</v>
      </c>
      <c r="I202" s="4">
        <v>0.27945060750132067</v>
      </c>
      <c r="J202" s="4"/>
      <c r="K202" s="4">
        <v>0.23718964606444798</v>
      </c>
      <c r="L202" s="4"/>
      <c r="M202" s="4"/>
      <c r="N202" s="4"/>
      <c r="O202" s="4">
        <v>0.32382461701003695</v>
      </c>
      <c r="P202" s="4"/>
      <c r="Q202" s="4"/>
      <c r="R202" s="4"/>
      <c r="S202" s="4"/>
      <c r="T202" s="4"/>
      <c r="U202" s="4"/>
      <c r="V202" s="4"/>
      <c r="W202" s="4"/>
    </row>
    <row r="203" spans="1:23" x14ac:dyDescent="0.2">
      <c r="A203" s="14">
        <v>202</v>
      </c>
      <c r="B203" t="s">
        <v>516</v>
      </c>
      <c r="C203">
        <v>2017</v>
      </c>
      <c r="D203" t="s">
        <v>517</v>
      </c>
      <c r="E203">
        <v>61</v>
      </c>
      <c r="F203" t="s">
        <v>518</v>
      </c>
      <c r="G203" s="4">
        <v>173</v>
      </c>
      <c r="H203" s="20"/>
      <c r="I203" s="4" t="s">
        <v>569</v>
      </c>
      <c r="J203" s="4"/>
      <c r="K203" s="4"/>
      <c r="L203" s="4"/>
      <c r="M203" s="4"/>
      <c r="N203" s="4"/>
      <c r="O203" s="4"/>
      <c r="P203" s="4"/>
      <c r="Q203" s="4"/>
      <c r="R203" s="4"/>
      <c r="S203" s="4"/>
      <c r="T203" s="4"/>
      <c r="U203" s="4"/>
      <c r="V203" s="4"/>
      <c r="W203" s="4"/>
    </row>
    <row r="204" spans="1:23" x14ac:dyDescent="0.2">
      <c r="A204">
        <v>203</v>
      </c>
      <c r="B204" t="s">
        <v>519</v>
      </c>
      <c r="C204">
        <v>2020</v>
      </c>
      <c r="D204" t="s">
        <v>520</v>
      </c>
      <c r="E204">
        <v>44</v>
      </c>
      <c r="F204" t="s">
        <v>521</v>
      </c>
      <c r="G204" s="4">
        <v>12</v>
      </c>
      <c r="H204" s="20"/>
      <c r="I204" s="4"/>
      <c r="J204" s="4"/>
      <c r="K204" s="4"/>
      <c r="L204" s="4"/>
      <c r="M204" s="4"/>
      <c r="N204" s="4"/>
      <c r="O204" s="4"/>
      <c r="P204" s="4"/>
      <c r="Q204" s="4"/>
      <c r="R204" s="4"/>
      <c r="S204" s="4"/>
      <c r="T204" s="4"/>
      <c r="U204" s="4"/>
      <c r="V204" s="4"/>
      <c r="W204" s="4"/>
    </row>
    <row r="205" spans="1:23" x14ac:dyDescent="0.2">
      <c r="A205">
        <v>204</v>
      </c>
      <c r="B205" t="s">
        <v>522</v>
      </c>
      <c r="C205">
        <v>2019</v>
      </c>
      <c r="D205" t="s">
        <v>523</v>
      </c>
      <c r="E205">
        <v>8</v>
      </c>
      <c r="F205" t="s">
        <v>524</v>
      </c>
      <c r="G205" s="4">
        <v>710</v>
      </c>
      <c r="H205" s="20">
        <v>115</v>
      </c>
      <c r="I205" s="4">
        <v>0.1619718309859155</v>
      </c>
      <c r="J205" s="4"/>
      <c r="K205" s="4"/>
      <c r="L205" s="4"/>
      <c r="M205" s="4"/>
      <c r="N205" s="4"/>
      <c r="O205" s="4"/>
      <c r="P205" s="4"/>
      <c r="Q205" s="4"/>
      <c r="R205" s="4"/>
      <c r="S205" s="4"/>
      <c r="T205" s="4"/>
      <c r="U205" s="4"/>
      <c r="V205" s="4"/>
      <c r="W205" s="4"/>
    </row>
    <row r="206" spans="1:23" s="14" customFormat="1" x14ac:dyDescent="0.2">
      <c r="A206" s="14">
        <v>205</v>
      </c>
      <c r="B206" s="14" t="s">
        <v>525</v>
      </c>
      <c r="C206" s="14">
        <v>2020</v>
      </c>
      <c r="D206" s="14" t="s">
        <v>526</v>
      </c>
      <c r="E206" s="14">
        <v>69</v>
      </c>
      <c r="F206" s="14" t="s">
        <v>527</v>
      </c>
      <c r="G206" s="15"/>
      <c r="H206" s="20"/>
      <c r="I206" s="15"/>
      <c r="J206" s="15"/>
      <c r="K206" s="15"/>
      <c r="L206" s="15"/>
      <c r="M206" s="15"/>
      <c r="N206" s="15"/>
      <c r="O206" s="15"/>
      <c r="P206" s="15"/>
      <c r="Q206" s="15"/>
      <c r="R206" s="15"/>
      <c r="S206" s="15"/>
      <c r="T206" s="15"/>
      <c r="U206" s="15"/>
      <c r="V206" s="15"/>
      <c r="W206" s="15"/>
    </row>
    <row r="207" spans="1:23" x14ac:dyDescent="0.2">
      <c r="A207">
        <v>206</v>
      </c>
      <c r="B207" t="s">
        <v>528</v>
      </c>
      <c r="C207">
        <v>2021</v>
      </c>
      <c r="D207" t="s">
        <v>122</v>
      </c>
      <c r="E207">
        <v>10</v>
      </c>
      <c r="F207" t="s">
        <v>529</v>
      </c>
      <c r="G207" s="4">
        <v>282</v>
      </c>
      <c r="H207" s="20"/>
      <c r="I207" s="4"/>
      <c r="J207" s="4"/>
      <c r="K207" s="4">
        <v>0.23049645390070922</v>
      </c>
      <c r="L207" s="4"/>
      <c r="M207" s="4"/>
      <c r="N207" s="4"/>
      <c r="O207" s="4">
        <v>0.33687943262411346</v>
      </c>
      <c r="P207" s="4"/>
      <c r="Q207" s="4"/>
      <c r="R207" s="4"/>
      <c r="S207" s="4"/>
      <c r="T207" s="4"/>
      <c r="U207" s="4"/>
      <c r="V207" s="4"/>
      <c r="W207" s="4"/>
    </row>
    <row r="208" spans="1:23" x14ac:dyDescent="0.2">
      <c r="A208">
        <v>207</v>
      </c>
      <c r="B208" t="s">
        <v>530</v>
      </c>
      <c r="C208">
        <v>2025</v>
      </c>
      <c r="D208" t="s">
        <v>531</v>
      </c>
      <c r="E208">
        <v>8</v>
      </c>
      <c r="F208" t="s">
        <v>532</v>
      </c>
      <c r="G208" s="4">
        <v>1000</v>
      </c>
      <c r="H208" s="20"/>
      <c r="I208" s="4" t="s">
        <v>570</v>
      </c>
      <c r="J208" s="4"/>
      <c r="K208" s="4">
        <v>0.254</v>
      </c>
      <c r="L208" s="4"/>
      <c r="M208" s="4"/>
      <c r="N208" s="4"/>
      <c r="O208" s="4"/>
      <c r="P208" s="4"/>
      <c r="Q208" s="4"/>
      <c r="R208" s="4"/>
      <c r="S208" s="4"/>
      <c r="T208" s="4"/>
      <c r="U208" s="4"/>
      <c r="V208" s="4"/>
      <c r="W208" s="4"/>
    </row>
    <row r="209" spans="1:23" x14ac:dyDescent="0.2">
      <c r="A209">
        <v>208</v>
      </c>
      <c r="B209" t="s">
        <v>533</v>
      </c>
      <c r="C209">
        <v>2024</v>
      </c>
      <c r="D209" t="s">
        <v>534</v>
      </c>
      <c r="E209">
        <v>24</v>
      </c>
      <c r="F209" t="s">
        <v>535</v>
      </c>
      <c r="G209" s="4">
        <v>1608</v>
      </c>
      <c r="H209" s="20"/>
      <c r="I209" s="4"/>
      <c r="J209" s="4"/>
      <c r="K209" s="4">
        <v>0.30845771144278605</v>
      </c>
      <c r="L209" s="4"/>
      <c r="M209" s="4">
        <v>0.39987562189054726</v>
      </c>
      <c r="N209" s="4"/>
      <c r="O209" s="4">
        <v>0.25808457711442784</v>
      </c>
      <c r="P209" s="4"/>
      <c r="Q209" s="4"/>
      <c r="R209" s="4"/>
      <c r="S209" s="4"/>
      <c r="T209" s="4"/>
      <c r="U209" s="4"/>
      <c r="V209" s="4"/>
      <c r="W209" s="4"/>
    </row>
    <row r="210" spans="1:23" x14ac:dyDescent="0.2">
      <c r="A210">
        <v>209</v>
      </c>
      <c r="B210" t="s">
        <v>536</v>
      </c>
      <c r="C210">
        <v>2024</v>
      </c>
      <c r="D210" t="s">
        <v>531</v>
      </c>
      <c r="E210">
        <v>15</v>
      </c>
      <c r="F210" t="s">
        <v>537</v>
      </c>
      <c r="G210" s="4">
        <v>3595</v>
      </c>
      <c r="H210" s="20"/>
      <c r="I210" s="4"/>
      <c r="J210" s="4">
        <v>0.2258692628650904</v>
      </c>
      <c r="L210" s="4"/>
      <c r="M210" s="4">
        <v>0.33045897079276776</v>
      </c>
      <c r="N210" s="4"/>
      <c r="O210" s="4">
        <v>0.20528511821974965</v>
      </c>
      <c r="P210" s="4"/>
      <c r="Q210" s="4"/>
      <c r="R210" s="4"/>
      <c r="S210" s="4"/>
      <c r="T210" s="4"/>
      <c r="U210" s="4"/>
      <c r="V210" s="4"/>
      <c r="W210" s="4"/>
    </row>
    <row r="211" spans="1:23" x14ac:dyDescent="0.2">
      <c r="A211">
        <v>210</v>
      </c>
      <c r="B211" t="s">
        <v>538</v>
      </c>
      <c r="C211">
        <v>2020</v>
      </c>
      <c r="D211" t="s">
        <v>183</v>
      </c>
      <c r="E211">
        <v>201</v>
      </c>
      <c r="F211" t="s">
        <v>539</v>
      </c>
      <c r="G211" s="4"/>
      <c r="H211" s="20"/>
      <c r="I211" s="4"/>
      <c r="J211" s="4"/>
      <c r="K211" s="4"/>
      <c r="L211" s="4"/>
      <c r="M211" s="4"/>
      <c r="N211" s="4"/>
      <c r="O211" s="4"/>
      <c r="P211" s="4"/>
      <c r="Q211" s="4"/>
      <c r="R211" s="4"/>
      <c r="S211" s="4"/>
      <c r="T211" s="4"/>
      <c r="U211" s="4"/>
      <c r="V211" s="4"/>
      <c r="W211" s="4"/>
    </row>
    <row r="212" spans="1:23" x14ac:dyDescent="0.2">
      <c r="G212" s="4"/>
      <c r="H212" s="20"/>
      <c r="I212" s="4"/>
      <c r="J212" s="4"/>
      <c r="K212" s="4"/>
      <c r="L212" s="4"/>
      <c r="M212" s="4"/>
      <c r="N212" s="4"/>
      <c r="O212" s="4"/>
      <c r="P212" s="4"/>
      <c r="Q212" s="4"/>
      <c r="R212" s="4"/>
      <c r="S212" s="4"/>
      <c r="T212" s="4"/>
      <c r="U212" s="4"/>
      <c r="V212" s="4"/>
      <c r="W212" s="4"/>
    </row>
    <row r="213" spans="1:23" x14ac:dyDescent="0.2">
      <c r="G213" s="4"/>
      <c r="H213" s="20"/>
      <c r="I213" s="4"/>
      <c r="J213" s="4"/>
      <c r="K213" s="4"/>
      <c r="L213" s="4"/>
      <c r="M213" s="4"/>
      <c r="N213" s="4"/>
      <c r="O213" s="4"/>
      <c r="P213" s="4"/>
      <c r="Q213" s="4"/>
      <c r="R213" s="4"/>
      <c r="S213" s="4"/>
      <c r="T213" s="4"/>
      <c r="U213" s="4"/>
      <c r="V213" s="4"/>
      <c r="W213" s="4"/>
    </row>
    <row r="214" spans="1:23" x14ac:dyDescent="0.2">
      <c r="G214" s="4"/>
      <c r="H214" s="20"/>
      <c r="I214" s="4"/>
      <c r="J214" s="4"/>
      <c r="K214" s="4"/>
      <c r="L214" s="4"/>
      <c r="M214" s="4"/>
      <c r="N214" s="4"/>
      <c r="O214" s="4"/>
      <c r="P214" s="4"/>
      <c r="Q214" s="4"/>
      <c r="R214" s="4"/>
      <c r="S214" s="4"/>
      <c r="T214" s="4"/>
      <c r="U214" s="4"/>
      <c r="V214" s="4"/>
      <c r="W214" s="4"/>
    </row>
    <row r="215" spans="1:23" x14ac:dyDescent="0.2">
      <c r="G215" s="4"/>
      <c r="H215" s="20"/>
      <c r="I215" s="4"/>
      <c r="J215" s="4"/>
      <c r="K215" s="4"/>
      <c r="L215" s="4"/>
      <c r="M215" s="4"/>
      <c r="N215" s="4"/>
      <c r="O215" s="4"/>
      <c r="P215" s="4"/>
      <c r="Q215" s="4"/>
      <c r="R215" s="4"/>
      <c r="S215" s="4"/>
      <c r="T215" s="4"/>
      <c r="U215" s="4"/>
      <c r="V215" s="4"/>
      <c r="W215" s="4"/>
    </row>
    <row r="216" spans="1:23" x14ac:dyDescent="0.2">
      <c r="G216" s="4"/>
      <c r="H216" s="20"/>
      <c r="I216" s="4"/>
      <c r="J216" s="4"/>
      <c r="K216" s="4"/>
      <c r="L216" s="4"/>
      <c r="M216" s="4"/>
      <c r="N216" s="4"/>
      <c r="O216" s="4"/>
      <c r="P216" s="4"/>
      <c r="Q216" s="4"/>
      <c r="R216" s="4"/>
      <c r="S216" s="4"/>
      <c r="T216" s="4"/>
      <c r="U216" s="4"/>
      <c r="V216" s="4"/>
      <c r="W216" s="4"/>
    </row>
    <row r="217" spans="1:23" x14ac:dyDescent="0.2">
      <c r="B217" t="s">
        <v>556</v>
      </c>
      <c r="G217" s="4"/>
      <c r="H217" s="20"/>
      <c r="U217" s="4"/>
      <c r="V217" s="4"/>
      <c r="W217" s="4"/>
    </row>
    <row r="218" spans="1:23" x14ac:dyDescent="0.2">
      <c r="B218" s="10"/>
      <c r="C218" t="s">
        <v>557</v>
      </c>
      <c r="D218" t="s">
        <v>581</v>
      </c>
      <c r="G218" s="4"/>
      <c r="H218" s="20"/>
      <c r="U218" s="4"/>
      <c r="V218" s="4"/>
      <c r="W218" s="4"/>
    </row>
    <row r="219" spans="1:23" x14ac:dyDescent="0.2">
      <c r="B219" s="14"/>
      <c r="C219" t="s">
        <v>558</v>
      </c>
      <c r="D219" t="s">
        <v>558</v>
      </c>
      <c r="G219" s="3"/>
      <c r="H219" s="19"/>
    </row>
    <row r="220" spans="1:23" x14ac:dyDescent="0.2">
      <c r="B220" s="1"/>
      <c r="C220" t="s">
        <v>559</v>
      </c>
      <c r="D220" t="s">
        <v>582</v>
      </c>
    </row>
    <row r="221" spans="1:23" x14ac:dyDescent="0.2">
      <c r="B221" s="21"/>
      <c r="C221" t="s">
        <v>572</v>
      </c>
      <c r="D221" t="s">
        <v>583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 Dabke</dc:creator>
  <cp:lastModifiedBy>Mark Brown</cp:lastModifiedBy>
  <dcterms:created xsi:type="dcterms:W3CDTF">2026-03-07T14:53:58Z</dcterms:created>
  <dcterms:modified xsi:type="dcterms:W3CDTF">2026-04-22T11:25:20Z</dcterms:modified>
</cp:coreProperties>
</file>