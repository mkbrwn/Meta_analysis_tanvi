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tanvidabke/Documents/CAP Systematic Review/Completed extractions/To send to Mark- deleted exclusions/"/>
    </mc:Choice>
  </mc:AlternateContent>
  <xr:revisionPtr revIDLastSave="0" documentId="13_ncr:1_{18833BDF-9E8B-9F45-A5F9-B8990C60C10B}" xr6:coauthVersionLast="47" xr6:coauthVersionMax="47" xr10:uidLastSave="{00000000-0000-0000-0000-000000000000}"/>
  <bookViews>
    <workbookView xWindow="0" yWindow="660" windowWidth="13740" windowHeight="16980" xr2:uid="{5AAF840C-BCB8-6B4F-AE80-D2DC9A3D2BEF}"/>
  </bookViews>
  <sheets>
    <sheet name="Observational" sheetId="2" r:id="rId1"/>
    <sheet name="RCT" sheetId="1" r:id="rId2"/>
    <sheet name="Sheet1" sheetId="3" r:id="rId3"/>
  </sheets>
  <definedNames>
    <definedName name="_xlnm._FilterDatabase" localSheetId="0" hidden="1">Observational!#REF!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8" i="2" l="1"/>
</calcChain>
</file>

<file path=xl/sharedStrings.xml><?xml version="1.0" encoding="utf-8"?>
<sst xmlns="http://schemas.openxmlformats.org/spreadsheetml/2006/main" count="826" uniqueCount="494">
  <si>
    <t>Journal</t>
  </si>
  <si>
    <t>Year published</t>
  </si>
  <si>
    <t>Country</t>
  </si>
  <si>
    <t>Population</t>
  </si>
  <si>
    <t>Age</t>
  </si>
  <si>
    <t>Intervention group</t>
  </si>
  <si>
    <t>Control group</t>
  </si>
  <si>
    <t>Primary outcome</t>
  </si>
  <si>
    <t>Secondary outcomes</t>
  </si>
  <si>
    <t>Centre (single or multi)</t>
  </si>
  <si>
    <t>Randomised?</t>
  </si>
  <si>
    <t>Blinded?</t>
  </si>
  <si>
    <t>Number of participants</t>
  </si>
  <si>
    <t>ICU mortality</t>
  </si>
  <si>
    <t>28d mortality</t>
  </si>
  <si>
    <t>30d mortality</t>
  </si>
  <si>
    <t xml:space="preserve">60d mortality </t>
  </si>
  <si>
    <t>90d mortality</t>
  </si>
  <si>
    <t>Hospital mortality</t>
  </si>
  <si>
    <t>ICU length of stay</t>
  </si>
  <si>
    <t>Hospital length of stay</t>
  </si>
  <si>
    <t>Survival to hospital discharge</t>
  </si>
  <si>
    <t>Mechnical ventilation (proportion requiring)</t>
  </si>
  <si>
    <t>NIV (proportion requiring)</t>
  </si>
  <si>
    <t>ECMO (proportion requiring)</t>
  </si>
  <si>
    <t>RRT (proportion requiring)</t>
  </si>
  <si>
    <t>Vasopressor / inotropic support (proportion requiring)</t>
  </si>
  <si>
    <t>Septic shock (proportion with)</t>
  </si>
  <si>
    <t>Respiratory failure (proportion with)</t>
  </si>
  <si>
    <t>Bacterial (proportion)</t>
  </si>
  <si>
    <t>Viral (proportion)</t>
  </si>
  <si>
    <t>Specific causative agent</t>
  </si>
  <si>
    <t>Secondary infection</t>
  </si>
  <si>
    <t>ARDS (proportion with)</t>
  </si>
  <si>
    <t>Funding sources</t>
  </si>
  <si>
    <t>Brief description of study objective</t>
  </si>
  <si>
    <t>Groups if applicable (e.g. if case-control, cohort)</t>
  </si>
  <si>
    <t>Study design</t>
  </si>
  <si>
    <t>Prospective or Retrospective?</t>
  </si>
  <si>
    <t>Title</t>
  </si>
  <si>
    <t>Study number</t>
  </si>
  <si>
    <t>Authors</t>
  </si>
  <si>
    <t>Years over which the data was actually collected, e.g. a study published in 2005 may have used data from 1993-1996.</t>
  </si>
  <si>
    <t>Aetiology (mixed, bacterial, viral, fungal etc)</t>
  </si>
  <si>
    <t>Full text link</t>
  </si>
  <si>
    <t>Data from dataset? E.g. MIMIC, ICNARC, CAPNETZ</t>
  </si>
  <si>
    <t>Any special groups? E.g. COPD, SLE, diabetes, sepsis etc.</t>
  </si>
  <si>
    <t>https://pubmed.ncbi.nlm.nih.gov/20349409/</t>
  </si>
  <si>
    <t>H1N1 infection and the kidney in critically ill patients</t>
  </si>
  <si>
    <t>May 2009-July 2009</t>
  </si>
  <si>
    <t>Argentina</t>
  </si>
  <si>
    <t>Single-centre</t>
  </si>
  <si>
    <t>Cohort</t>
  </si>
  <si>
    <t>Retrospective</t>
  </si>
  <si>
    <t>All patients with a PCR -confirmed diagnosis of H1N1 influenza infection admitted to the intensive care unit between May and July 2009 were retrospectively studied. Thereafter, the risk factors associated with the development of acute renal injury, the requirements of acute hemodialysis (HD) and death were analyzed.</t>
  </si>
  <si>
    <t>N/A</t>
  </si>
  <si>
    <t>52.91 ± 18.89 </t>
  </si>
  <si>
    <t>Adult</t>
  </si>
  <si>
    <t>risk factors associated with the development of acute renal injury</t>
  </si>
  <si>
    <t xml:space="preserve">the requirements of acute hemodialysis (HD), Mortality </t>
  </si>
  <si>
    <t>Viral</t>
  </si>
  <si>
    <t>PCR confirmed H1N1 infuenza</t>
  </si>
  <si>
    <t>Nil</t>
  </si>
  <si>
    <t>https://www.sciencedirect.com/science/article/pii/S0873215915300234?via%3Dihub</t>
  </si>
  <si>
    <r>
      <t>M. Raquel Marques 1</t>
    </r>
    <r>
      <rPr>
        <sz val="16"/>
        <color rgb="FF1F1F1F"/>
        <rFont val="Arial"/>
        <family val="2"/>
      </rPr>
      <t>, </t>
    </r>
    <r>
      <rPr>
        <sz val="12"/>
        <color theme="1"/>
        <rFont val="Aptos Narrow"/>
        <family val="2"/>
        <scheme val="minor"/>
      </rPr>
      <t>António Nunes 2</t>
    </r>
    <r>
      <rPr>
        <sz val="16"/>
        <color rgb="FF1F1F1F"/>
        <rFont val="Arial"/>
        <family val="2"/>
      </rPr>
      <t>, </t>
    </r>
    <r>
      <rPr>
        <sz val="12"/>
        <color theme="1"/>
        <rFont val="Aptos Narrow"/>
        <family val="2"/>
        <scheme val="minor"/>
      </rPr>
      <t>Cristina Sousa 3</t>
    </r>
    <r>
      <rPr>
        <sz val="16"/>
        <color rgb="FF1F1F1F"/>
        <rFont val="Arial"/>
        <family val="2"/>
      </rPr>
      <t>, </t>
    </r>
    <r>
      <rPr>
        <sz val="12"/>
        <color theme="1"/>
        <rFont val="Aptos Narrow"/>
        <family val="2"/>
        <scheme val="minor"/>
      </rPr>
      <t>Fausto Moura 2</t>
    </r>
    <r>
      <rPr>
        <sz val="16"/>
        <color rgb="FF1F1F1F"/>
        <rFont val="Arial"/>
        <family val="2"/>
      </rPr>
      <t>, </t>
    </r>
    <r>
      <rPr>
        <sz val="12"/>
        <color theme="1"/>
        <rFont val="Aptos Narrow"/>
        <family val="2"/>
        <scheme val="minor"/>
      </rPr>
      <t>João Gouveia 2</t>
    </r>
    <r>
      <rPr>
        <sz val="16"/>
        <color rgb="FF1F1F1F"/>
        <rFont val="Arial"/>
        <family val="2"/>
      </rPr>
      <t>, </t>
    </r>
    <r>
      <rPr>
        <sz val="12"/>
        <color theme="1"/>
        <rFont val="Aptos Narrow"/>
        <family val="2"/>
        <scheme val="minor"/>
      </rPr>
      <t>Armindo Ramos 4</t>
    </r>
  </si>
  <si>
    <t>Community-acquired pneumonia in an intensive care unit</t>
  </si>
  <si>
    <t>Revista Portuguesa de Pneumologia</t>
  </si>
  <si>
    <t xml:space="preserve">Journal of Nephrolgy </t>
  </si>
  <si>
    <t>June 2004 – December 2006.Portugal</t>
  </si>
  <si>
    <t>Case-Control</t>
  </si>
  <si>
    <t>a retrospective study of patients admitted to a polyvalent intensive care unit with CAP from 1st June 2004 – 31st December 2006.</t>
  </si>
  <si>
    <t>62.88 (18.75)</t>
  </si>
  <si>
    <t>CAP’s impact on morbidity and mortality</t>
  </si>
  <si>
    <t>55.26%.</t>
  </si>
  <si>
    <t>Bacterial</t>
  </si>
  <si>
    <t>Streptococcus pneumoniae was the most frequent aetiological agent (7.89%), but the group of aetiological agents more frequently identified was Gram-negative enteric bacilli.</t>
  </si>
  <si>
    <t>**does not differentiate between invasive and non-invasive ventilation. Specified as "artificial respirator''</t>
  </si>
  <si>
    <t>https://link.springer.com/article/10.1007/s00134-009-1730-y</t>
  </si>
  <si>
    <t>I Martin-Loeches 1, T Lisboa, A Rodriguez, C Putensen, D Annane, J Garnacho-Montero, M I Restrepo, J Rello</t>
  </si>
  <si>
    <t>Combination antibiotic therapy with macrolides improves survival in intubated patients with community-acquired pneumonia</t>
  </si>
  <si>
    <t>Intensive Care Medicine</t>
  </si>
  <si>
    <t>Multi-centre</t>
  </si>
  <si>
    <t>Prospective</t>
  </si>
  <si>
    <t>assess the effect on survival of macrolides or fluoroquinolones in intubated patients admitted to the intensive care unit (ICU) with severe community-acquired pneumonia (severe CAP</t>
  </si>
  <si>
    <t>Mixed</t>
  </si>
  <si>
    <t>Bacetrial</t>
  </si>
  <si>
    <t>N.A</t>
  </si>
  <si>
    <t>Spain</t>
  </si>
  <si>
    <t>CAPUCI</t>
  </si>
  <si>
    <t>https://journal.chestnet.org/article/S0012-3692(08)60354-2/abstract</t>
  </si>
  <si>
    <t>Salluh, Jorge I F and Bozza, Fernando A and Soares, Marcio and Verdeal, Juan Carlos R and Castro-Faria-Neto, Hugo C and Lapa E Silva, Jose Roberto and Bozza, Patricia T</t>
  </si>
  <si>
    <t>Adrenal response in severe community-acquired pneumonia: impact on outcomes and disease severity.</t>
  </si>
  <si>
    <t>Chest</t>
  </si>
  <si>
    <t>Association between mortality and Baseline and postcorticotropin cortisol levels</t>
  </si>
  <si>
    <t>https://pmc.ncbi.nlm.nih.gov/articles/PMC2687698/</t>
  </si>
  <si>
    <t>Outcomes and prognostic factors for severe community-acquired pneumonia that requires mechanical ventilation.</t>
  </si>
  <si>
    <t>The Korean journal of internal medicine</t>
  </si>
  <si>
    <t>Lee, Jin Hwa and Ryu, Yon Ju and Chun, Eun Mi and Chang, Jung Hyun</t>
  </si>
  <si>
    <t>Brazil</t>
  </si>
  <si>
    <t>January 1 2000 - December 31 2003</t>
  </si>
  <si>
    <t>This study was conducted to determine the mortality and predictors that contribute to in-hospital mortality for patients who exhibit CAP and acute respiratory failure that requires mechanical ventilation.</t>
  </si>
  <si>
    <t>68.7 +/- 13.0</t>
  </si>
  <si>
    <t>Survivors, non-survivors</t>
  </si>
  <si>
    <t>relative importance of many factors that influence the survival of mechanically ventilated patients with severe CAP, and these factors include the baseline characteristics at admission and the organ failure that develops over the course of mechanical ventilation.</t>
  </si>
  <si>
    <t xml:space="preserve"> Association between mortality and Baseline and postcorticotropin cortisol levels in severe CAP </t>
  </si>
  <si>
    <t>23.6 +/- 28</t>
  </si>
  <si>
    <t>34.4 +/- 36.2</t>
  </si>
  <si>
    <t>Not specified</t>
  </si>
  <si>
    <t>Streptococcus pneumoniae was the most commonly isolated respiratory pathogen and Pseudomonas aeruginosa and methicillin-resistant Staphylococcus aureus were the next 2 most common pathogens.</t>
  </si>
  <si>
    <t>Impact of thrombocytopenia on outcome of patients admitted to ICU for severe community-acquired pneumonia.</t>
  </si>
  <si>
    <t>The Journal of infection</t>
  </si>
  <si>
    <t>Brogly, Nicolas and Devos, Patrick and Boussekey, Nicolas and Georges, Hugues and Chiche, Arnaud and Leroy, Olivier</t>
  </si>
  <si>
    <t>https://linkinghub.elsevier.com/retrieve/pii/S0163-4453(07)00039-4</t>
  </si>
  <si>
    <t>1987-2205</t>
  </si>
  <si>
    <t>Korea</t>
  </si>
  <si>
    <t>France</t>
  </si>
  <si>
    <t>To evaluate the prevalence and the prognostic value of thrombocytopenia in patients admitted to ICU for severe community-acquired pneumonia.</t>
  </si>
  <si>
    <t xml:space="preserve">ICU mortalitty </t>
  </si>
  <si>
    <t>Critical Care Medicine</t>
  </si>
  <si>
    <t>December 1, 2000 - february 28, 2002</t>
  </si>
  <si>
    <t>N/.A</t>
  </si>
  <si>
    <t>Combination antibiotic therapy improves survival in patients with        community-acquired pneumonia and shock</t>
  </si>
  <si>
    <t>CRITICAL CARE MEDICINE</t>
  </si>
  <si>
    <t>Rodriguez, Alejandro and Mendia, Angel and Sirvent, Josep-Maria and Barcenilla, Fernando and de la Torre-Prados, Maria Victoria and Sole-Violan, Jordi and Rello, Jordi and CAPUCI Study Grp</t>
  </si>
  <si>
    <t>To assess whether combination antibiotic therapy improves outcome of severe community-acquired pneumonia in the subset of patients with shock.</t>
  </si>
  <si>
    <t xml:space="preserve">Effect of combination antibiotic therapy on CAP in ICU </t>
  </si>
  <si>
    <t xml:space="preserve">with shock, without shock </t>
  </si>
  <si>
    <t>N./A</t>
  </si>
  <si>
    <t>nil</t>
  </si>
  <si>
    <t>Community-acquired pneumonia on the intensive care unit: secondary analysis of 17,869 cases in the ICNARC Case Mix Programme Database.</t>
  </si>
  <si>
    <t>Woodhead, Mark and Welch, Catherine A and Harrison, David A and Bellingan, Geoff and Ayres, Jon G</t>
  </si>
  <si>
    <t>Critical care (London, England)</t>
  </si>
  <si>
    <t>https://pmc.ncbi.nlm.nih.gov/articles/PMC3226135/</t>
  </si>
  <si>
    <t>1995-2204</t>
  </si>
  <si>
    <t>secondary analysis of ICU admissions to review otcomes of CAP</t>
  </si>
  <si>
    <t xml:space="preserve">ICNARC, CMP </t>
  </si>
  <si>
    <t>61.6 (17.6)</t>
  </si>
  <si>
    <t>admissions 1995-1999, 1999-2004</t>
  </si>
  <si>
    <t>Incidence of CAP in ICU admissions</t>
  </si>
  <si>
    <t xml:space="preserve">Outcome of CAP in ICU </t>
  </si>
  <si>
    <t>9751 (54.6%)</t>
  </si>
  <si>
    <t>877 (4.9%)</t>
  </si>
  <si>
    <t>1233 (6.8%)</t>
  </si>
  <si>
    <t>152 (0.9%)</t>
  </si>
  <si>
    <t>Implications of COPD in patients admitted to the intensive care unit by community-acquired pneumonia</t>
  </si>
  <si>
    <t>Rello J. and Rodriguez A. and Torres A. and Roig J. and Sole-Violan J. and Garnacho-Montero J. and de la Torre M.V. and Sirvent J.M. and Bodi M. and Sole J. and Blanquer J. and Jimenez J. and de la Torre V. and Almirall J. and Doblas A. and Badia J.R. and Garcia F. and Mendia A. and Jorda R. and Bobillo F. and Valles J. and Broch M.J. and Carrasco N. and Herranz M.A. and Alvarez Lerma F. and Mesalles E. and Alvarez B. and Robles J.C. and Maravi E. and Barcenilla F. and Blasco M.A. and Masdeu G. and Lopez Pueyo M.J. and Margarit A. and Fierro J. and Renedo F. and Lores A. and Alonso R. and Huertos M.J. and Lopez Cambra M.J.</t>
  </si>
  <si>
    <t>European Respiratory Journal</t>
  </si>
  <si>
    <t>https://pubmed.ncbi.nlm.nih.gov/16510452/</t>
  </si>
  <si>
    <t>England</t>
  </si>
  <si>
    <t>secondary analysis of a prospective study evaluating 428 immunocompetent patients admitted to the intensive care unit (ICU) for severe CAP.</t>
  </si>
  <si>
    <t>COPD, non COPD</t>
  </si>
  <si>
    <t xml:space="preserve">clinical outcomes </t>
  </si>
  <si>
    <t>COPD</t>
  </si>
  <si>
    <t>December 1 2000 - February 28 2002</t>
  </si>
  <si>
    <t>25.2%%</t>
  </si>
  <si>
    <t xml:space="preserve">Bacterial </t>
  </si>
  <si>
    <t>Infection</t>
  </si>
  <si>
    <t>Diagnostic and prognostic values of admission procalcitonin levels in community-acquired pneumonia in an intensive care unit</t>
  </si>
  <si>
    <t>Boussekey N. and Leroy O. and Georges H. and Devos P. and D'Escrivan T. and Guery B.</t>
  </si>
  <si>
    <t>https://pmc.ncbi.nlm.nih.gov/articles/PMC7102380/</t>
  </si>
  <si>
    <t>determine the diagnostic and prognostic role of PCT in patients admitted in an intensive care unit for severe CAP,</t>
  </si>
  <si>
    <t>Outcome analysis of patients requiring mechanical ventilation with severe community-acquired pneumonia and identified bacterial pathogens</t>
  </si>
  <si>
    <t>Hu H.-C. and Huang C.-C. and Tsai Y.-H. and Lee C.-H. and Hsieh M.-J.</t>
  </si>
  <si>
    <t>Chang Gung Medical Journal</t>
  </si>
  <si>
    <t>http://cgmj.cgu.edu.tw/2804/280404.pdf</t>
  </si>
  <si>
    <t>January 1 - December 31, 2001</t>
  </si>
  <si>
    <t>Taiwan</t>
  </si>
  <si>
    <t>nalyze the causative bacteria and outcomes of patients with severe CAP in a medical intensive care unit</t>
  </si>
  <si>
    <t>Severe community-acquired pneumonia in an intensive care unit: Risk        factors for mortality</t>
  </si>
  <si>
    <t>INTERNAL MEDICINE</t>
  </si>
  <si>
    <t>Yoshimoto, A and Nakamura, H and Fujimura, M and Nakao, S</t>
  </si>
  <si>
    <t>https://www.jstage.jst.go.jp/article/internalmedicine/44/7/44_7_710/_pdf/-char/en</t>
  </si>
  <si>
    <t>April 1995 - March 2002</t>
  </si>
  <si>
    <t>Japan</t>
  </si>
  <si>
    <t>valuate severe community-acquired pneumonia (SCAP) patients in an intensive care unit (ICU) with regard to risk factors for mortality</t>
  </si>
  <si>
    <t>67.7 +/-16.3</t>
  </si>
  <si>
    <t>To evaluate severe community-acquired pneumonia (SCAP) patients in an intensive care unit (ICU) with regard to risk factors for mortality and to compare ICU patients with matched non-ICU patients to evaluate whether our judgement for ICU admission was appropriate or not. Materials and Methods During a 7-year period, all patients with CAP who were admitted to the ICU were examined. They underwent clinical and radiographic evaluations, and two commonly used severity of illness scores were also calculated using the Simplified Acute Physiological Score (SAPS) and the Acute Physiology and Chronic Health Evaluation (APACHE) II methods. To detect risk factors for ICU admission using existing guidelines, each study patient was matched with two patients hospitalized in a general medical ward.</t>
  </si>
  <si>
    <t>ompare ICU patients with matched non-ICU patients to evaluate whether our judgement for ICU admission was appropriate or not</t>
  </si>
  <si>
    <t>matched non-ICU cohort</t>
  </si>
  <si>
    <t>Survivors, non survivors</t>
  </si>
  <si>
    <t xml:space="preserve">bacterial </t>
  </si>
  <si>
    <t>characterise CAP which led to hospitalisation in an ICU, detailing clinical, laboratory, microbiology and antibiotherapy results</t>
  </si>
  <si>
    <t xml:space="preserve">Nil </t>
  </si>
  <si>
    <t>Microbiological testing and outcome of patients with severe community-acquired pneumonia</t>
  </si>
  <si>
    <t>Rello J. and Bodi M. and Mariscal D. and Navarro M. and Diaz E. and Gallego M. and Valles J.</t>
  </si>
  <si>
    <t xml:space="preserve">Chest </t>
  </si>
  <si>
    <t>https://journal.chestnet.org/article/S0012-3692(16)34391-4/abstract</t>
  </si>
  <si>
    <t>The study documents the impact of microbiological investigations on therapeutic decisions and outcome in patients with severe community-acquired pneumonia (SCAP).</t>
  </si>
  <si>
    <t>microbiological testing is fully justified in patients with SCAP, because identifying the causative agent and adjusting treatment both impact on patient outcome</t>
  </si>
  <si>
    <t>ntubated patients should be empirically treated for Pseudomonas and Legionella while awaiting bacteriology results.</t>
  </si>
  <si>
    <t>Severe pneumonia due to Legionella pneumophila: Prognostic factors, impact of delayed appropriate antimicrobial therapy</t>
  </si>
  <si>
    <t>Gacouin A. and Le Tulzo Y. and Lavoue S. and Camus C. and Hoff J. and Bassen R. and Arvieux C. and Heurtin C. and Thomas R.</t>
  </si>
  <si>
    <t>https://link.springer.com/article/10.1007/s00134-002-1304-8</t>
  </si>
  <si>
    <t>To compare the outcome of patients with severe Legionella pneumonia (LP) according to the presence or absence of prognostic factors </t>
  </si>
  <si>
    <t>Initiation of fluoroquinolone therapy within 8 h of ICU admission significantly reduced mortality.</t>
  </si>
  <si>
    <t>SAPS II score higher than 46, duration of symptoms prior to ICU admission longer than 5 days and intubation were associated with increased mortality.</t>
  </si>
  <si>
    <t>Legionella Pneumoniae</t>
  </si>
  <si>
    <t>Pascual, F E and Matthay, M A and Bacchetti, P and Wachter, R M</t>
  </si>
  <si>
    <t>https://journal.chestnet.org/article/S0012-3692(15)48644-1/abstract</t>
  </si>
  <si>
    <t>USA</t>
  </si>
  <si>
    <t>Knowing that mortality is high in patients who require mechanical ventilation patients with community-acquired pneumonia (CAP), we hypothesized that the severity of acute lung injury could be used along with nonpulmonary factors to identify patients with the highest risk of death</t>
  </si>
  <si>
    <t>Mechanically ventilated patinets</t>
  </si>
  <si>
    <t>Prediction model accurately identified critically ill, mechanically ventilated patients with CAP for whom prolonged intensive care may not be of benefit.</t>
  </si>
  <si>
    <t>(1) the extent of lung injury assessed by the hypoxemia index; (2) the number of nonpulmonary organs that failed; (3) immunosuppression; (4) age &gt; 80 years; and (5) medical comorbidity with a prognosis for survival &lt; 5 years</t>
  </si>
  <si>
    <t>Wilson B.Z. and Anzueto A. and Restrepo M.I. and Pugh M.J.V. and Mortensen E.M.</t>
  </si>
  <si>
    <t>Comparison of two guideline-concordant antimicrobial combinations in elderly patients hospitalized with severe community-acquired pneumonia</t>
  </si>
  <si>
    <t>October 1 - Spetember 2007</t>
  </si>
  <si>
    <t>administrative databases of the Department of Veterans Affairs (VA).</t>
  </si>
  <si>
    <t>the aim of this study was to examine the association between two antibiotic treatment regimens (beta lactam and fluorquiolone v/s beta lactam and macrolide) and important clinical outcomes, including 30-day mortality and length of hospital stay for patients &gt; 65 yrs of age hospitalized with severe, community-acquired pneumonia.</t>
  </si>
  <si>
    <t>Adult (&gt;65 years)</t>
  </si>
  <si>
    <t>Beta lactam + fluroqinolone, Beta lactam + macrolide</t>
  </si>
  <si>
    <t>74 (SD 6.5)</t>
  </si>
  <si>
    <t>no significant difference for 30-day mortality</t>
  </si>
  <si>
    <t>increase in length of stay associated with the use of beta-lactam + fluoroquinolone</t>
  </si>
  <si>
    <t>Age &gt;65 years</t>
  </si>
  <si>
    <t>18.2 days</t>
  </si>
  <si>
    <t>https://pmc.ncbi.nlm.nih.gov/articles/PMC4066649/</t>
  </si>
  <si>
    <t>South Texas Veterans Health Care System.</t>
  </si>
  <si>
    <t>Wilson PA</t>
  </si>
  <si>
    <t>Internal Medicine Journal</t>
  </si>
  <si>
    <t>Severe community-acquired pneumonia: an Australian perspective.</t>
  </si>
  <si>
    <t>Australia</t>
  </si>
  <si>
    <t>To describe the aetiology and characteristics of severe CAP in patients requiring intensive care unit (ICU) admission, to identify factors predicting mortality and to audit current practices of investigation and antibiotic management of these patients from an Australian perspective.</t>
  </si>
  <si>
    <t>Severe CAP requiring ICU admission was associated with a mortality rate of 32%, despite appropriate antimicrobial therapy including a beta-lactam and a macrolide antibiotic in most cases</t>
  </si>
  <si>
    <t>Causative organisms identified were similar to those found in previous studies. High rates of viral causes (28% of identified pathogens) were noted. Low rates of legionellosis and other atypical causes were found, most probably due to a lack of systematic testing for these agents.</t>
  </si>
  <si>
    <t>The most frequent causative organisms were Streptococcus pneumoniae (13 cases), influenza A (9), Haemophilus influenzae (5) and Staphylococcus aureus (4); aerobic Gram-negative bacilli collectively accounted for five cases.</t>
  </si>
  <si>
    <t>None</t>
  </si>
  <si>
    <t>https://onlinelibrary.wiley.com/doi/10.1111/j.1445-5994.2005.00962.x</t>
  </si>
  <si>
    <t>Lluch Candal C. and Sanchez Gonzalez B. and Cabeza C. and Piacentini E. and Quintana S. and Ferrer Roca R.</t>
  </si>
  <si>
    <t>Current treatment for severe community-acquired pneumonia: Lessons from the N1H1 pademic</t>
  </si>
  <si>
    <t>Kassana B.A. and Hassan B. and Samoon N. and Aalmeen G.</t>
  </si>
  <si>
    <t>International Journal of Toxicological and Pharmacological Research</t>
  </si>
  <si>
    <t>Mortality Predictors in Influenza Pneumonia: A Prospective Study in a Tertiary Care Hospital</t>
  </si>
  <si>
    <t>Erdogan M. and Findikli H.A.</t>
  </si>
  <si>
    <t>Medicine (United States)</t>
  </si>
  <si>
    <t>https://pmc.ncbi.nlm.nih.gov/articles/PMC8797532/</t>
  </si>
  <si>
    <t>Turkey</t>
  </si>
  <si>
    <t>January 2018 - December 2020</t>
  </si>
  <si>
    <t>This study examined whether the Lactate/ Albumin (L/A) ratio has prognostic value in a larger group of critically ill (adult) patients admitted to an intensive care unit (ICU) due to pneumosepsis.</t>
  </si>
  <si>
    <t>71 (IQR 64-77)</t>
  </si>
  <si>
    <t>The L/A ratio was superior to lactate or albumin alone as a predictor of mortality.</t>
  </si>
  <si>
    <t>he L/A ratio can be an independent predictor of mortality in patients with pneumosepsis and patients with pneumosepsis with renal and hepatic dysfunction. The L/A ratio correlated positively with lactate levels and APACHE-2 and SOFA scores but negatively with albumin levels.</t>
  </si>
  <si>
    <t>H1N1 influenza A virus-associated acute lung injury: Response to combination oseltamivir and prolonged corticosteroid treatment</t>
  </si>
  <si>
    <t>Prognostic value of the lactate/albumin ratio for predicting mortality in patients with pneumosepsis in intensive care units</t>
  </si>
  <si>
    <t>Quispe-Laime A.M. and Bracco J.D. and Barberio P.A. and Campagne C.G. and Rolfo V.E. and Umberger R. and Meduri G.U.</t>
  </si>
  <si>
    <t>https://pmc.ncbi.nlm.nih.gov/articles/PMC7080155/</t>
  </si>
  <si>
    <t>June 24 -12  July 2009</t>
  </si>
  <si>
    <t>Argenitina</t>
  </si>
  <si>
    <t>39 (+/- 11)</t>
  </si>
  <si>
    <t xml:space="preserve">Viral </t>
  </si>
  <si>
    <t>13.6+/-6.5</t>
  </si>
  <si>
    <t>18.7+/-9.6</t>
  </si>
  <si>
    <t>26.66%- VAP - lebsiella pneumoniae (2), Acinetobacter baumani (1), and Proteus mirabilis (1)</t>
  </si>
  <si>
    <t>In ARDS patients, with and without confirmed H1N1 influenza, prolonged low-to-moderate dose corticosteroid treatment was well tolerated and associated with significant improvement in lung injury and multiple organ dysfunction scores and a low hospital mortality. </t>
  </si>
  <si>
    <t>A recent meta-analysis provides support for prolonged corticosteroid treatment in ALI-ARDS. We prospectively evaluated the response to oseltamivir and prolonged corticosteroid treatment in patients with ALI-ARDS and suspected H1N1 influenza.</t>
  </si>
  <si>
    <t xml:space="preserve">H1N1 RTPCR positive, RTPCR negative, ARDS present,ARDS absent </t>
  </si>
  <si>
    <t>Scala R. and Naldi M. and Maccari U.</t>
  </si>
  <si>
    <t>Critical Care</t>
  </si>
  <si>
    <t>Early fiberoptic bronchoscopy during non-invasive ventilation in patients with decompensated chronic obstructive pulmonary disease due to community-acquired-pneumonia</t>
  </si>
  <si>
    <t>https://pmc.ncbi.nlm.nih.gov/articles/PMC2887203/</t>
  </si>
  <si>
    <t>January 1 - 31 Decmber 2008</t>
  </si>
  <si>
    <t>Italy</t>
  </si>
  <si>
    <t>In patients with decompensated COPD due to CAP who are candidates for CMV because of HE and inability to clear copious secretions, NPPV with early therapeutic FBO performed by an experienced team is a feasible, safe and effective alternative strategy.</t>
  </si>
  <si>
    <t>30 (15+15)</t>
  </si>
  <si>
    <t>33%%</t>
  </si>
  <si>
    <t>23.5 days</t>
  </si>
  <si>
    <t>Bacterial + undiagnosed</t>
  </si>
  <si>
    <t xml:space="preserve">Strep pneumoniaea, Psuedomonas, Staph. Aureaus, H. Influenzae </t>
  </si>
  <si>
    <t>Phua J. and Ngerng W.J. and Lim T.K.</t>
  </si>
  <si>
    <t>The impact of a delay in intensive care unit admission for community-acquired pneumonia</t>
  </si>
  <si>
    <t>https://publications.ersnet.org/content/erj/36/4/826?implicit-login=true%26489&amp;check_logged_in=1</t>
  </si>
  <si>
    <t>Singapore</t>
  </si>
  <si>
    <t>to evaluate the effect on hospital mortality of a delay in intensive care unit (ICU) admission for severe community-acquired pneumonia (CAP). The secondary objectives were to assess if such delays were associated with treatment variations by the emergency department (ED) and deterioration in the general wards, and to evaluate the prognostic ability of the Infectious Disease Society of America (IDSA)/American Thoracic Society (ATS) minor criteria.</t>
  </si>
  <si>
    <t xml:space="preserve"> The objective of this pilot study was, firstly, to verify the safety and effectiveness of early FBO during NPPV and, secondly, to compare the hospital outcomes of this strategy versus a CMV-based strategy in patients with decompensated chronic obstructive pulmonary disease (COPD) due to CAP who are not appropriate candidates for NPPV because of inefficient mucous clearance and hypercapnic encephalopathy (HE).</t>
  </si>
  <si>
    <t xml:space="preserve">Cohort </t>
  </si>
  <si>
    <t>July 2005 - December 2007</t>
  </si>
  <si>
    <t xml:space="preserve"> direct group (admitted straight from the ED to the ICU),  the delayed group (first admitted from the ED to the general wards before ICU transfer)</t>
  </si>
  <si>
    <t>delay in ICU admission for such patients independently predicts increased hospital mortality. This delay is associated with the provision of less intensive treatment at the ED and rapid deterioration in the general wards. Hence, in such patients, the IDSA/ATS minor criteria should be used to facilitate prompt recognition of severe CAP.</t>
  </si>
  <si>
    <t>Renaud B. and Santin A. and Coma E. and Camus N. and Van Pelt D. and Hayon J. and Gurgui M. and Roupie E. and Herve J. and Fine M.J. and Brun-Buisson C. and Labarere J.</t>
  </si>
  <si>
    <t>Association between timing of intensive care unit admission and outcomes for emergency department patients with community-acquired pneumonia</t>
  </si>
  <si>
    <t xml:space="preserve"> The aim of this study was to compare the 28-day mortality and hospital length of stay for CAP patients who were admitted directly to an ICU on the same day of ED presentation (i.e., direct-transfer patients) with those transferred to an ICU bed within 3 days of admission to a non-ICU ward (i.e., delayed-transfer patients).</t>
  </si>
  <si>
    <t>CAP patients admitted directly to ICU on the same day of ED presentation (i.e., direct-transfer patients), CAP patients transferred to an ICU bed within 3 days of admission to a non-ICU ward (i.e., delayed-transfer patients).</t>
  </si>
  <si>
    <t>some patients without major criteria for severe community-acquired pneumonia, according to the recent Infectious Diseases Society of America/American Thoracic Society consensus guideline, may benefit from direct transfer to the intensive care unit.</t>
  </si>
  <si>
    <t xml:space="preserve"> further studies are needed to prospectively identify patients who may benefit from direct intensive care unit admission despite a lack of major severity criteria for community-acquired pneumonia based on the current guidelines.</t>
  </si>
  <si>
    <t xml:space="preserve">Median (IQR)so cannot combine. Immediate: 10 (6-9), Delayed: 13(7-17) </t>
  </si>
  <si>
    <t xml:space="preserve">Not specified </t>
  </si>
  <si>
    <t>Selective patients form Cohort pf 4 studies - PORT, EDCAP, Pneumocom 1, Pneumocom 2</t>
  </si>
  <si>
    <t>USA, France, Spain</t>
  </si>
  <si>
    <t>PORT: Oct 1991 - March 1994, EDCAPL Jan 2001 - Dec 2001, Pneumocom 1: Feb 2002 - July 2023, Pneumocom 2: Jan 2023 - Dec 2003</t>
  </si>
  <si>
    <t>** secondary retrospective analysis of four multi centre proscpetive cohort studies**</t>
  </si>
  <si>
    <t>Effects of prone position on inflammatory markers in patients with ARDS due to community-acquired pneumonia</t>
  </si>
  <si>
    <t>Journal of the Formosan Medical Association</t>
  </si>
  <si>
    <t>Chan M.-C. and Hsu J.-Y. and Liu H.-H. and Lee Y.-L. and Pong S.-C. and Chang L.-Y. and Kuo B.I.-T. and Wu C.-L.</t>
  </si>
  <si>
    <t>https://journals.lww.com/ccmjournal/fulltext/2009/11000/association_between_timing_of_intensive_care_unit.1.aspx</t>
  </si>
  <si>
    <t>https://pdf.sciencedirectassets.com/276220/1-s2.0-S0929664608X60036/1-s2.0-S0929664608600327/main.pdf?X-Amz-Security-Token=IQoJb3JpZ2luX2VjEJT%2F%2F%2F%2F%2F%2F%2F%2F%2F%2FwEaCXVzLWVhc3QtMSJHMEUCIQCnOkBho7dbmhpDYX7JzBivMXQlY7kVOx7EWZVTZUK6fwIgY%2FS3lengyeHzDB17re7FE9Pw2kQwd5BeWuwAlYxpXicqswUIXBAFGgwwNTkwMDM1NDY4NjUiDGMv3nTXTegV5JKTtyqQBU9I9PPYYSELIE%2FqbTauyqsWIVk7WtaCEx%2FJYnELI856Fasjn9EpveKPakp6uFyg9Cr44M5BlAMNJrQmXziMqQ7lQnvNBdnELBG67Iflnp3Y2ja9HcxUB6GokYL5jpTCXhziR3gZ%2BBvHeSzjQY43ffrbCpvejYCYCT%2B6VeuIlru8p6XdVAzgAtVbgIgMPRLquNZ9OomMuM5BYxSAsAyDUPp4Rwp6ngBGIw1AWh7aScfdAjw2JQnbJpNoMXf6RiRCEkKE%2Bez2CJp5zCICIWhj8AWzJkPbj9csZ%2FrvsfqPCg3797BBow7Ba%2BGqD8pWX0jzHLuSyEgpHT67s5CNcqi%2BU29OnQkXtAqvC0iLzS7W1WwGfqB5eqcOXYLJlEUpny6qEjF%2Ff035EIKTr74vM3GQxoOT8gVb82mwVJ0dUj4BSGgtW4V2INe1jbplX7lz4lWfGXSWpYCz6bNczYlHe8jIZg6kQrSjrWNnq72BXnk0IFto4mq%2BFACjeHeAyM2FkpuA371uupIa47XUUDsbpERIJvU4bfj9wWCUmBxAaTROw247LQEp8Ryy%2FjypBF8bEuUAE7PEgp1jvuDWF6rp2c6kdZhG%2FzoPeujcAobg9ptk%2BKxZOIyGoCZmoCUnC8Wa0rJEUNokB8Wc0tDiokwJIaknCMh8g0RSsVQ%2BBbAZESsLAVuSIW2QCTjZ0EvJ16Rq2Qr1e7BDe61DAmVzGUC%2FL8rO6Yt%2Bt%2BRzcGqWQ5Ru3UUVNuC21gE2OHCCrNtQ9v%2BGIii5hsjr44WWixc9P9mTPYvJhjFe7jshKMN1R2PPWMfDMZmYDNYzd5%2F5lNfq2XPsR7STtPeAzoLgkELsxASMGzuHsG6G%2FhiklfIB7K3g4KRl%2BZBXML2Ajc0GOrEBafwOs6zWrEV5qFU0Jo9Lmw2xdr%2BsyTwAFsNZ%2FfZPBzMU5I8CuY3URrLGAzAsblPo%2FaXLjoNZsS86MrcvvJQ7haJdWj8aLhLni3c5wpMW%2FRE7antxtty4HcxrmU205Gdldt2kVKm6dqulCHYU685N%2FU5EZEB7oa6HXwyb7uzo%2FXhMnwGUKkvdCBk7l3fkuEE4J8NOkHUyyf9NMTEX8hF4Zl6nuT5FmJermOLHnk01mWFR&amp;X-Amz-Algorithm=AWS4-HMAC-SHA256&amp;X-Amz-Date=20260228T203326Z&amp;X-Amz-SignedHeaders=host&amp;X-Amz-Expires=300&amp;X-Amz-Credential=ASIAQ3PHCVTYWM7WNMFW%2F20260228%2Fus-east-1%2Fs3%2Faws4_request&amp;X-Amz-Signature=c0723995533b9e8d48022832ae70b7bc769aa24554f3230dcf855b14b366fc4d&amp;hash=4605831b710835ce632c1a733daff7f8104bda84403f3112f271f202f291715e&amp;host=68042c943591013ac2b2430a89b270f6af2c76d8dfd086a07176afe7c76c2c61&amp;pii=S0929664608600327&amp;tid=spdf-7bf4356a-fd4e-46e2-96ce-a946582a9b0e&amp;sid=d188603689f0684f2d389945e23e26d4c2c7gxrqb&amp;type=client&amp;tsoh=d3d3LnNjaWVuY2VkaXJlY3QuY29t&amp;rh=d3d3LnNjaWVuY2VkaXJlY3QuY29t&amp;ua=01065706575706535405&amp;rr=9d52b26c293d9bc3&amp;cc=gb</t>
  </si>
  <si>
    <t>September 2002 - December 2003</t>
  </si>
  <si>
    <t>Proned, non-proned</t>
  </si>
  <si>
    <t xml:space="preserve">PRONE was a safe and effective maneuver for improving oxygenation in patients with severe CAP and ARDS </t>
  </si>
  <si>
    <t xml:space="preserve"> PRONE also influenced IL-6 expression in patients with severe CAP.</t>
  </si>
  <si>
    <t>Severe CAP with ARDS</t>
  </si>
  <si>
    <t>Nicolini A. and Ferraioli G. and Ferrari-Bravo M. and Barlascini C. and Santo M. and Ferrera L.</t>
  </si>
  <si>
    <t>Clinical Respiratory Journal</t>
  </si>
  <si>
    <t>Early non-invasive ventilation treatment for respiratory failure due to severe community-acquired pneumonia</t>
  </si>
  <si>
    <t>https://onlinelibrary.wiley.com/doi/10.1111/crj.12184</t>
  </si>
  <si>
    <t xml:space="preserve"> evaluated the safety of continuous prone position ventilation (PRONE) and its effects on oxygenation and plasma cytokine concentrations in patients with ARDS caused by severe community-acquired pneumonia (CAP).</t>
  </si>
  <si>
    <t>assessed predictors of NIV failure and hospital mortality using univariate and multivariate analyses for sCAP in the ICU</t>
  </si>
  <si>
    <t>Successful treatment is strongly related to less severe illness as well as to a good initial and sustained response to medical therapy and NIV treatment</t>
  </si>
  <si>
    <t xml:space="preserve">severe CAP </t>
  </si>
  <si>
    <t>Yang Y. and Guo F. and Zhao W. and Gu Q. and Huang M. and Cao Q. and Shi Y. and Li J. and Chen J. and Yan J. and Jin Z. and Wang X. and Deng Y. and Sun L. and Cai H. and Huang J. and Zheng Y. and Li W. and Liu A. and Chen B. and Zhou M. and Qiu H. and Slutsky A.S.</t>
  </si>
  <si>
    <t>https://journals.lww.com/ccmjournal/fulltext/2015/02000/novel_avian_origin_influenza_a__h7n9__in.10.aspx</t>
  </si>
  <si>
    <t>March 20, 2023 - May 1, 203</t>
  </si>
  <si>
    <t>China</t>
  </si>
  <si>
    <t>aimed to provide the clinical features, treatment, and prognosis of the critically ill patients with H7N9 viral infection.</t>
  </si>
  <si>
    <t>Jiangsu provincial network to monitor H7N9 infections. The network included the Jiangsu Provincial Health Department, the Jiangsu Provincial Center for Disease Control and Prevention, and all provincial hospitals and 15 teaching hospitals in Jiangsu</t>
  </si>
  <si>
    <t>65.7 years</t>
  </si>
  <si>
    <t>Infection with novel avian-origin reassortment influenza A (H7N9) virus is characterized by high fever, cough, and severe respiratory failure and is associated with a high mortality.</t>
  </si>
  <si>
    <t>H1N1 influenza</t>
  </si>
  <si>
    <t>Gao Z. and Lu Y. and Yu S. and Fu B.</t>
  </si>
  <si>
    <t>Frontiers in Medicine</t>
  </si>
  <si>
    <t>An investigation of the relationship between sPD-1, sPD-L1 and severe pneumonia patients admitted to ICU and its clinical significance</t>
  </si>
  <si>
    <t>https://www.frontiersin.org/journals/medicine/articles/10.3389/fmed.2025.1605653/full</t>
  </si>
  <si>
    <t>study aimed to explore the relationship between sPD-1/sPD-L1 levels and clinical outcomes in Severe CAP patients.</t>
  </si>
  <si>
    <t>71 (58-76)</t>
  </si>
  <si>
    <t xml:space="preserve"> sPD-1 levels were significantly elevated in non-surviving SP patients, suggesting its potential role as a biomarker for disease severity and immune dysregulation</t>
  </si>
  <si>
    <t>The combination of sPD-1 with other clinical parameters may provide valuable insights into the prognosis and immune status of SP patients.</t>
  </si>
  <si>
    <t>November 2022 - December 2023</t>
  </si>
  <si>
    <t>Bacterial (assumed)</t>
  </si>
  <si>
    <t>Wu X. and Sun T. and He H. and Xing L. and Cheng Z. and Geng S. and Xu D. and Luo H. and Chen C. and Jiang M. and Hou G. and Zhai T. and Cai Y. and Liu Y. and Li J. and Ni L. and Li X. and Qu B. and Lei C. and Wang Y. and Gu Z. and Zhang P. and Huang X. and Li M. and Xia J. and He L. and Zhan Q.</t>
  </si>
  <si>
    <t>https://linkinghub.elsevier.com/retrieve/pii/S0012-3692(24)04863-3</t>
  </si>
  <si>
    <t>NIV succesful, NIV failed (i.e required MIV)</t>
  </si>
  <si>
    <t>A multicenter randomized controlled open-label clinical trial was conducted in 10 ICUs. Patients were randomized in a 1:1 ratio to undergo BALF assessment with conventional microbiological tests (CMTs) only (ie, the CMT group) or BALF assessment with both mNGS and CMTs (ie, the mNGS group). The primary outcome was the time to clinical improvement, defined as the time from randomization to either an improvement of two points on a six-category ordinal scale or discharge from the ICU, whichever occurred first.</t>
  </si>
  <si>
    <t xml:space="preserve">Adult population with SCAP in ICU </t>
  </si>
  <si>
    <t>Yes</t>
  </si>
  <si>
    <t>Open-lable</t>
  </si>
  <si>
    <t> undergo BALF assessment with conventional microbiological tests</t>
  </si>
  <si>
    <t>BALF assessment with both mNGS and CMTs</t>
  </si>
  <si>
    <t xml:space="preserve"> The proportion of patients with clinical improvement within 14 days was significantly higher in the mNGS group (62.0%) than in the CMT group (46.5%).</t>
  </si>
  <si>
    <t>Shi D.-C. and Jiang J.-M. and Li Y.-X. and Feng Q.-M. and Zhao G.</t>
  </si>
  <si>
    <t>International Journal of Gerontology</t>
  </si>
  <si>
    <t>The Predictive Values of Different Scoring Systems for Mortality of Older Patients with Community-Acquired Pneumonia Who Underwent Invasive Mechanical Ventilation</t>
  </si>
  <si>
    <t>https://www.sgecm.org.tw/DB/ijge/30/1667.pdf?Title=The%20Predictive%20Values%20of%20Different%20Scoring%20Systems%20for%20Mortality%20of%20Older%20Patients%20with%20Community-Acquired%20Pneumonia%20Who%20Underwent%20Invasive%20Mechanical%20Ventilation&amp;Keyword=community-acquired%20pneumonia;%20invasive%20mechanical%20ventilation;%20pneumonia;%20simplified%20acute%20physiology%20score;%20acute%20physiology%20and%20chronic%20health%20evaluation%20II&amp;v=1421</t>
  </si>
  <si>
    <t>August 2016 - Augist 2019</t>
  </si>
  <si>
    <t xml:space="preserve"> To evaluate the performance of the pneumonia severity index (PSI), acute physiology and chronic health evaluation II (APACHE II), and simplified acute physiology score III (SAPS III) in predicting mortality in patients with community-acquired pneumonia (CAP) who underwent invasive mechanical ventilation (IMV) in the emergency intensive care unit (EICU).</t>
  </si>
  <si>
    <t>This study included 101 older inpatients with CAP admitted to the EICU who received IMV treatment between August 2016 and August 2019. The eligible patients
were selected based on the following exclusion criteria: (1) &lt; 18
years old; (2) In severe immunosuppressive status; (3) Thoracic deformities; (4) Received IMV treatment for &lt; 24 h; (5) During pregnancy; (6) Due to incomplete clinical data.</t>
  </si>
  <si>
    <t>72.73+/-12.85</t>
  </si>
  <si>
    <t>survivors v/s non survivors</t>
  </si>
  <si>
    <t>Compared to PSI and SAPS III, APACHE II had an optimal effect on predicting mortality in
older patients with CAP who underwent IMV.</t>
  </si>
  <si>
    <t>not specified</t>
  </si>
  <si>
    <t>Adult. All patients with a PCR -confirmed diagnosis of H1N1 influenza infection admitted to the</t>
  </si>
  <si>
    <t>Adult. Patients with pneumonia on
admission or within the first 48 hours were
included and those with recent hospital
admission (&lt;10 days) or those residing in a
home/rest home excluded</t>
  </si>
  <si>
    <t>Adult. Consecutive patients with severe CAP and who required mechanical ventilation at admission or on the day following admission to the ICU at Ewha Womans University Hospital from January 1, 2000 through December 31, 2003. Those patients who had been pretreated before admission, those who had other causes of respiratory failure, those who were suspected of having nosocomial pneumonia or those who died within 24 hours of admission were excluded.</t>
  </si>
  <si>
    <t>Admission platelet count between 101 and 149×109/L, 51 and 100×109/L, 21 and 50×109/L, and ≤20×109/L</t>
  </si>
  <si>
    <t>Adult. Admissions were selected as having probable pneumonia if the recording of the primary reason for admission, or ultimate primary reason for admission if the diagnosis changed after 24 hours, was any of 'Bacterial pneumonia', 'Viral pneumonia' or 'Pneumonia, no organism isolated'</t>
  </si>
  <si>
    <t>mixed</t>
  </si>
  <si>
    <t>49%%</t>
  </si>
  <si>
    <t>Adult. immunocompetent patients admitted to the intensive care unit (ICU) for severe CAP</t>
  </si>
  <si>
    <t>Adult. We enrolled patients with severe CAP who were intubated and who required
mechanical ventilation in an MICU</t>
  </si>
  <si>
    <t>Klebsiella pneumoniae was the most common bacteria (21.3%), followed by Pseudomonas aeruginosa and Acinetobacter baumannii. Staphylococcus aureus (8%) was the most-commonly isolated gram-positive organism</t>
  </si>
  <si>
    <t>https://journals.lww.com/ccmjournal/fulltext/2007/06000/combination_antibiotic_therapy_improves_survival.6.aspx</t>
  </si>
  <si>
    <t>Multiple. Streptococcus pneumoniae (n = 73, 46.2%) was identified as the leading pathogen in patients with shock, followed by Staphylococcus aureus (n = 16, 10.1%), Legionella pneumophila (n = 14, 8.8%), and Pseudomonas aeruginosa (n = 13, 8.2%)</t>
  </si>
  <si>
    <t>Adult. CAP was defined by the presence of a
new radiographic pulmonary infiltration on or one occurring
within 24 hours of admission including at least two of the
following signs; sputum production, cough, fever (temperature _x0001_37.8°C), and leukocytosis with a WBC count _x0001_12,000/
l. Patients were excluded when abnormalities observed during chest radiographic examinations were attributed to other
causes, such as congestive heart failure, pulmonary infarction or obstructive pneumonia due to lung cancer</t>
  </si>
  <si>
    <t>Multiple. 32 (44.4%) had an identifiable microbial etiology (Table 2), the most common being Streptococcus pneumoniae (S. pneumoniae, 13.9%) followed by
Pseudomonas aeruginosa (P. aerations, 8.3%) and Klebsiella
pneumoniae (K. pneumoniae, 6.9%)</t>
  </si>
  <si>
    <t xml:space="preserve">Multiple. The most common pathogens were Streptococcus pneumoniae, Legionella pneumophila, and Haemophilus influenzae. Pseudomonas (6.6.% vs 1.0%, p &lt; 0.05) and Legionella (15.1% vs 7.1%, p &lt; 0.05) were more frequently documented in intubated patients. </t>
  </si>
  <si>
    <t>Adult. cases with no previous treatment with a macrolide or a fluoroquinolone.</t>
  </si>
  <si>
    <t>100%%</t>
  </si>
  <si>
    <t xml:space="preserve">Adult. Patients over 18 years of age and diagnosed with pneumosepsis at admission to ICU were included in the study. </t>
  </si>
  <si>
    <t>Adult. 3 patients with suspected H1N1 pneumonia and ALI-ARDS were admitted to the intensive care unit (ICU) of a tertiary care hospital. H1N1 influenza was confirmed with real-time reverse transcriptase-polymerase chain reaction assay in eight patients.</t>
  </si>
  <si>
    <t>Adult. Fifteen acutely decompensated COPD patients with copious secretion retention and HE due to CAP undergoing NPPV in RSICU, and 15 controls (matched for arterial blood gases, acute physiology and chronic health evaluation score III, Kelly-Matthay scale, pneumonia extension and severity) receiving CMV in the ICU were studied.</t>
  </si>
  <si>
    <t>Adult. To eliminate confounding by nosocomial complications, we excluded patients who were admitted to the ICU &gt;72 h after presentation at the ED.</t>
  </si>
  <si>
    <t>Adult. non-institutionalized patients transferred within 3 days of emergency department presentation to an intensive care unit were included in the analysis. Supplementary analysis was restricted to patients without an obvious indication for immediate transfer to an intensive care unit.</t>
  </si>
  <si>
    <t>Adult. Patients with acute respiratory failure caused by severe CAP were enrolled
in the study. CAP was defined as fever plus cough
with purulent sputum production, and infiltrates
over chest X-ray within 72 hours of admission. The
patients must not have been admitted 14 days before this admission. All of them met the criteria
for ARDS as defined by the American–European
Consensus Conference.15 The onset of ARDS had
to be within 72 hours before enrolment.</t>
  </si>
  <si>
    <t>Adult. sCAP and severe acute respiratory failure [oxygen arterial pressure/oxygen inspiratory fraction ratio (PaO2/FiO2) &lt;250].</t>
  </si>
  <si>
    <t>National Nature Science Foundation of China</t>
  </si>
  <si>
    <t xml:space="preserve">males </t>
  </si>
  <si>
    <t>Smokers</t>
  </si>
  <si>
    <t>Diabetes</t>
  </si>
  <si>
    <t>Hernán Trimarchi , Gustavo Greloni, Vicente Campolo-Girard, Sergio Giannasi, Vanesa Pomeranz, Esteban San-Roman, Fernando Lombi, Laura Barcan, Mariano Forrester, Salomón Algranati, Romina Iriarte, Guillermo Rosa-Diez</t>
  </si>
  <si>
    <t>11/22 (50%)</t>
  </si>
  <si>
    <t>9/22 (41%)</t>
  </si>
  <si>
    <t>2/22 (9.1%)</t>
  </si>
  <si>
    <t>56/76 (73.7%)</t>
  </si>
  <si>
    <t>13/76 (17.1%)</t>
  </si>
  <si>
    <t>9/76 (11.8%)</t>
  </si>
  <si>
    <t>11/76 (14.5%)</t>
  </si>
  <si>
    <t>27 hospitals in 9 european countries</t>
  </si>
  <si>
    <t>149/218 (68.3%)</t>
  </si>
  <si>
    <t>40/218 (18.3%)</t>
  </si>
  <si>
    <t>33/218 (15.1%)</t>
  </si>
  <si>
    <t xml:space="preserve">30 day mortality in ICU  in patients admitted with CAP </t>
  </si>
  <si>
    <t xml:space="preserve">Affect of macrolides or fluoroquinolones in intubated patients admitted to the intensive care unit (ICU) with severe community-acquired pneumonia (sub analysis performed in patinets with severe sepsis and septic shock) </t>
  </si>
  <si>
    <t>Adult. 218 consecutive patients requiring invasive mechanical ventilation for an admission diagnosis of CAP were recruited.</t>
  </si>
  <si>
    <t>60.9 (16.07)</t>
  </si>
  <si>
    <t>Multiple</t>
  </si>
  <si>
    <t>Multiple. Streptococcus pneu_x0002_moniae (n = 33; 32.4%) was identified as the most
prevalent pathogen, followed by 23 cases of Staphylo_x0002_coccus aureus (22.5%) and 11 Haemophilus influenzae
(10.8%).</t>
  </si>
  <si>
    <t xml:space="preserve">survivors, non-survivors. Macrolides v/s quinolones </t>
  </si>
  <si>
    <t>18.7 (15.9)</t>
  </si>
  <si>
    <t>33.5 (25.1)</t>
  </si>
  <si>
    <t>August 2005 - June 2007</t>
  </si>
  <si>
    <t>71 (52.5-83.7)</t>
  </si>
  <si>
    <t>34/72 (47.2%)</t>
  </si>
  <si>
    <t>7/72 (9.7%)</t>
  </si>
  <si>
    <t>6 (4-9)</t>
  </si>
  <si>
    <t>10 (7-18.5)</t>
  </si>
  <si>
    <t xml:space="preserve">survivors, non-survivors </t>
  </si>
  <si>
    <t>20 (27.8%)</t>
  </si>
  <si>
    <t>14 (19.4%)</t>
  </si>
  <si>
    <t>61/85 (72%)</t>
  </si>
  <si>
    <t>23/85 (27%)</t>
  </si>
  <si>
    <t>10271/17869 (57.5%)</t>
  </si>
  <si>
    <t>1309/17869 (7.3%)</t>
  </si>
  <si>
    <t>19/85 (22.5%)</t>
  </si>
  <si>
    <t>117/17869 (0.7%)</t>
  </si>
  <si>
    <t>311/428 (72.7%)</t>
  </si>
  <si>
    <t>176/428 (41.1%)</t>
  </si>
  <si>
    <t>204/428 (47.6%)</t>
  </si>
  <si>
    <t>102/428 (23.8%)</t>
  </si>
  <si>
    <t>January 1 2001 -April 1 2003</t>
  </si>
  <si>
    <t>70/110 (64%)</t>
  </si>
  <si>
    <t>58.8 +/-16.3</t>
  </si>
  <si>
    <t xml:space="preserve">PCT &lt; 0.5 ng/ml (probable exclusion),  ≥ 2 ng/ml (probable bacterial infection), &lt; 2 ng/ml (no definitive conclusion). </t>
  </si>
  <si>
    <t xml:space="preserve">prognosti value of PCT in svere CAP </t>
  </si>
  <si>
    <t>65(59.09%)</t>
  </si>
  <si>
    <t>9 (8.2%)</t>
  </si>
  <si>
    <t>42(38.2%)</t>
  </si>
  <si>
    <t>42 (38.2%) - 16 Dopmine 14 dobutamie, 12noradrenaline</t>
  </si>
  <si>
    <t>Bacterial. Viruses not tested</t>
  </si>
  <si>
    <t>25 (22.7%)</t>
  </si>
  <si>
    <t>92 (83.6%)</t>
  </si>
  <si>
    <t>30 (27.3%)</t>
  </si>
  <si>
    <t>48/59 (81.3%)</t>
  </si>
  <si>
    <t>6/59 (10.1%)</t>
  </si>
  <si>
    <t>10/59 (16.9%)</t>
  </si>
  <si>
    <t>54/72 (75%)</t>
  </si>
  <si>
    <t>12/72 (16.7%)</t>
  </si>
  <si>
    <t>9/72 (12.5%)</t>
  </si>
  <si>
    <t>January 1, 1993 - January 1, 2000</t>
  </si>
  <si>
    <t xml:space="preserve"> 61.1 +/- 17.9 y</t>
  </si>
  <si>
    <t>166/210 (79%)</t>
  </si>
  <si>
    <t>Intubated, non - intubated</t>
  </si>
  <si>
    <t>85/210 (40.5%)</t>
  </si>
  <si>
    <t>15/210 (7.1%)</t>
  </si>
  <si>
    <t>24/210 (11.4%)</t>
  </si>
  <si>
    <t>17/210 (8%)</t>
  </si>
  <si>
    <t>January 1, 1990 - January 1 2001</t>
  </si>
  <si>
    <t>62±16</t>
  </si>
  <si>
    <t>36/43 (84%)</t>
  </si>
  <si>
    <t>5+/-3 days</t>
  </si>
  <si>
    <t>33/43 (76.7%)</t>
  </si>
  <si>
    <t>12/43 (27.9%)</t>
  </si>
  <si>
    <t>17/43 (39.5%)</t>
  </si>
  <si>
    <t>7/43 (16.3%)</t>
  </si>
  <si>
    <t>2/43 (4.6%)</t>
  </si>
  <si>
    <t>July 1994 - July 1997</t>
  </si>
  <si>
    <t>63 (mean)</t>
  </si>
  <si>
    <t>75/144 (52%)</t>
  </si>
  <si>
    <t>66/144 (46%)</t>
  </si>
  <si>
    <t>24/144 (16.7%)</t>
  </si>
  <si>
    <t>11/144 (7.63%)</t>
  </si>
  <si>
    <t>Multiple - Bacterial, fungal, Viral</t>
  </si>
  <si>
    <t>1368/1989 (98.5%)</t>
  </si>
  <si>
    <t>1075/1989 (54%)</t>
  </si>
  <si>
    <t>862/1989 (43.4%)</t>
  </si>
  <si>
    <t>January 2001 - July 2003</t>
  </si>
  <si>
    <t>59.5 ± 16.6</t>
  </si>
  <si>
    <t>54/96 (56.2%)</t>
  </si>
  <si>
    <t>19/96 (19.8%)</t>
  </si>
  <si>
    <t>16/96 (16.7%)</t>
  </si>
  <si>
    <t>46/96 (48%)</t>
  </si>
  <si>
    <t>134/273 (49.1%)</t>
  </si>
  <si>
    <t>62/273 (22.7%)</t>
  </si>
  <si>
    <t>64 (23.4%)</t>
  </si>
  <si>
    <t>9/13 (69.2%)</t>
  </si>
  <si>
    <t>2/13 (15.4%)</t>
  </si>
  <si>
    <t>5/13 (38.5%)</t>
  </si>
  <si>
    <t>1/13 (7.7%)</t>
  </si>
  <si>
    <t>12/30 (70%)</t>
  </si>
  <si>
    <t>COPD - Non Invasive positive pressure ventilation, Mechanical invasive ventilation 15/30 (50%)</t>
  </si>
  <si>
    <t>30/30 (100%)</t>
  </si>
  <si>
    <t>76/103 (73.8%)</t>
  </si>
  <si>
    <t>18/22 (81.8%)</t>
  </si>
  <si>
    <t>1/22 (4.5%)</t>
  </si>
  <si>
    <t>7/22 (31.8%)</t>
  </si>
  <si>
    <t>June 2009 - May 2014</t>
  </si>
  <si>
    <t>76/127 (59.8%)</t>
  </si>
  <si>
    <t>62 ± 20</t>
  </si>
  <si>
    <t>31/127 (24.4%)</t>
  </si>
  <si>
    <t>6/127 (4.7%)</t>
  </si>
  <si>
    <t>Multiple - main pathogens isolated were S. pneumoniae,
L. pneumophila, and influenza A</t>
  </si>
  <si>
    <t>18/26 (69.2%)</t>
  </si>
  <si>
    <t>76/125 (60%)</t>
  </si>
  <si>
    <t>18 (14.4%)</t>
  </si>
  <si>
    <t>12 (9.6%)</t>
  </si>
  <si>
    <t>Effect of Metagenomic Next-Generation Sequencing on Clinical Outcomes of Patients With Severe Community-Acquired Pneumonia in the ICU</t>
  </si>
  <si>
    <t>61/121 (60.4%)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</si>
</sst>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6"/>
      <color rgb="FF212121"/>
      <name val="Helvetica Neue"/>
      <family val="2"/>
    </font>
    <font>
      <sz val="12"/>
      <color rgb="FF212121"/>
      <name val="Helvetica Neue"/>
      <family val="2"/>
    </font>
    <font>
      <sz val="16"/>
      <color rgb="FF1F1F1F"/>
      <name val="Arial"/>
      <family val="2"/>
    </font>
    <font>
      <u/>
      <sz val="12"/>
      <color theme="10"/>
      <name val="Aptos Narrow"/>
      <family val="2"/>
      <scheme val="minor"/>
    </font>
    <font>
      <sz val="16"/>
      <color rgb="FF1F1F1F"/>
      <name val="Georgia"/>
      <family val="1"/>
    </font>
    <font>
      <sz val="12"/>
      <color rgb="FF000000"/>
      <name val="Aptos Narrow"/>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10" fontId="0" fillId="0" borderId="0" xfId="0" applyNumberFormat="1"/>
    <xf numFmtId="9" fontId="0" fillId="0" borderId="0" xfId="0" applyNumberFormat="1"/>
    <xf numFmtId="0" fontId="4" fillId="0" borderId="0" xfId="1"/>
    <xf numFmtId="0" fontId="0" fillId="0" borderId="0" xfId="0" applyAlignment="1">
      <alignment wrapText="1"/>
    </xf>
    <xf numFmtId="0" fontId="5" fillId="0" borderId="0" xfId="0" applyFont="1"/>
    <xf numFmtId="10" fontId="5" fillId="0" borderId="0" xfId="0" applyNumberFormat="1" applyFont="1"/>
    <xf numFmtId="0" fontId="0" fillId="8" borderId="0" xfId="0" applyFill="1"/>
    <xf numFmtId="0" fontId="6" fillId="0" borderId="0" xfId="0" applyFont="1"/>
    <xf numFmtId="3" fontId="0" fillId="0" borderId="0" xfId="0" applyNumberFormat="1"/>
    <xf numFmtId="0" fontId="0" fillId="9" borderId="0" xfId="0" applyFill="1"/>
    <xf numFmtId="0" fontId="4" fillId="0" borderId="0" xfId="1" applyFill="1"/>
    <xf numFmtId="0" fontId="6" fillId="9" borderId="0" xfId="0" applyFont="1" applyFill="1"/>
    <xf numFmtId="10" fontId="0" fillId="9" borderId="0" xfId="0" applyNumberFormat="1" applyFill="1"/>
    <xf numFmtId="9" fontId="0" fillId="9" borderId="0" xfId="0" applyNumberFormat="1" applyFill="1"/>
    <xf numFmtId="10" fontId="2" fillId="9" borderId="0" xfId="0" applyNumberFormat="1" applyFont="1" applyFill="1"/>
    <xf numFmtId="0" fontId="0" fillId="0" borderId="0" xfId="0" applyAlignment="1">
      <alignment horizontal="left"/>
    </xf>
    <xf numFmtId="10" fontId="1" fillId="0" borderId="0" xfId="0" applyNumberFormat="1" applyFont="1"/>
    <xf numFmtId="0" fontId="4" fillId="9" borderId="0" xfId="1" applyFill="1"/>
    <xf numFmtId="0" fontId="0" fillId="9" borderId="0" xfId="0" applyFill="1" applyAlignment="1">
      <alignment horizontal="left" vertical="top" wrapText="1"/>
    </xf>
    <xf numFmtId="9" fontId="0" fillId="9" borderId="0" xfId="0" applyNumberFormat="1" applyFill="1" applyAlignment="1">
      <alignment vertical="top"/>
    </xf>
    <xf numFmtId="3" fontId="0" fillId="2" borderId="0" xfId="0" applyNumberFormat="1" applyFill="1"/>
    <xf numFmtId="16" fontId="0" fillId="2" borderId="0" xfId="0" applyNumberForma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frontiersin.org/journals/medicine/articles/10.3389/fmed.2025.1605653/full" TargetMode="External"/><Relationship Id="rId2" Type="http://schemas.openxmlformats.org/officeDocument/2006/relationships/hyperlink" Target="https://pubmed.ncbi.nlm.nih.gov/16510452/" TargetMode="External"/><Relationship Id="rId1" Type="http://schemas.openxmlformats.org/officeDocument/2006/relationships/hyperlink" Target="https://journals.lww.com/ccmjournal/fulltext/2007/06000/combination_antibiotic_therapy_improves_survival.6.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D33A-CA53-9549-98B3-F47F8755525E}">
  <dimension ref="A1:AV30"/>
  <sheetViews>
    <sheetView tabSelected="1" zoomScaleNormal="100" workbookViewId="0">
      <pane ySplit="1" topLeftCell="A2" activePane="bottomLeft" state="frozen"/>
      <selection pane="bottomLeft" activeCell="A8" sqref="A8:XFD8"/>
    </sheetView>
  </sheetViews>
  <sheetFormatPr baseColWidth="10" defaultRowHeight="16" x14ac:dyDescent="0.2"/>
  <cols>
    <col min="1" max="1" width="7.33203125" customWidth="1"/>
    <col min="2" max="2" width="0" hidden="1" customWidth="1"/>
    <col min="3" max="3" width="22.33203125" customWidth="1"/>
    <col min="4" max="4" width="31" customWidth="1"/>
    <col min="7" max="7" width="23.6640625" hidden="1" customWidth="1"/>
    <col min="8" max="11" width="0" hidden="1" customWidth="1"/>
    <col min="12" max="12" width="36.1640625" hidden="1" customWidth="1"/>
    <col min="13" max="13" width="49" hidden="1" customWidth="1"/>
    <col min="16" max="16" width="20.33203125" customWidth="1"/>
    <col min="17" max="17" width="18" style="1" customWidth="1"/>
    <col min="18" max="18" width="37.33203125" customWidth="1"/>
    <col min="19" max="19" width="15.83203125" style="1" customWidth="1"/>
    <col min="20" max="20" width="13.1640625" style="1" customWidth="1"/>
    <col min="21" max="21" width="17.1640625" style="1" customWidth="1"/>
    <col min="22" max="22" width="32" customWidth="1"/>
    <col min="23" max="23" width="50.6640625" customWidth="1"/>
    <col min="24" max="24" width="51.33203125" customWidth="1"/>
    <col min="30" max="30" width="17.6640625" customWidth="1"/>
    <col min="31" max="31" width="17.33203125" customWidth="1"/>
    <col min="33" max="33" width="23.83203125" customWidth="1"/>
    <col min="34" max="34" width="32.5" customWidth="1"/>
    <col min="35" max="35" width="28" customWidth="1"/>
    <col min="37" max="37" width="24.1640625" customWidth="1"/>
    <col min="40" max="40" width="16" customWidth="1"/>
    <col min="42" max="42" width="33.6640625" customWidth="1"/>
    <col min="43" max="43" width="24.83203125" customWidth="1"/>
    <col min="45" max="45" width="21.5" customWidth="1"/>
    <col min="46" max="46" width="26" customWidth="1"/>
    <col min="48" max="48" width="255.6640625" customWidth="1"/>
  </cols>
  <sheetData>
    <row r="1" spans="1:48" ht="20" customHeight="1" x14ac:dyDescent="0.2">
      <c r="A1" s="1" t="s">
        <v>40</v>
      </c>
      <c r="B1" s="1" t="s">
        <v>44</v>
      </c>
      <c r="C1" s="1" t="s">
        <v>41</v>
      </c>
      <c r="D1" s="1" t="s">
        <v>39</v>
      </c>
      <c r="E1" s="1" t="s">
        <v>0</v>
      </c>
      <c r="F1" s="1" t="s">
        <v>1</v>
      </c>
      <c r="G1" s="1" t="s">
        <v>42</v>
      </c>
      <c r="H1" s="1" t="s">
        <v>2</v>
      </c>
      <c r="I1" s="1" t="s">
        <v>9</v>
      </c>
      <c r="J1" s="1" t="s">
        <v>37</v>
      </c>
      <c r="K1" s="1" t="s">
        <v>38</v>
      </c>
      <c r="L1" s="1" t="s">
        <v>35</v>
      </c>
      <c r="M1" s="1" t="s">
        <v>45</v>
      </c>
      <c r="N1" s="2" t="s">
        <v>3</v>
      </c>
      <c r="O1" s="2" t="s">
        <v>4</v>
      </c>
      <c r="P1" s="2" t="s">
        <v>12</v>
      </c>
      <c r="Q1" s="1" t="s">
        <v>373</v>
      </c>
      <c r="R1" s="2" t="s">
        <v>36</v>
      </c>
      <c r="S1" s="1" t="s">
        <v>152</v>
      </c>
      <c r="T1" s="1" t="s">
        <v>374</v>
      </c>
      <c r="U1" s="1" t="s">
        <v>375</v>
      </c>
      <c r="V1" s="2" t="s">
        <v>7</v>
      </c>
      <c r="W1" s="2" t="s">
        <v>8</v>
      </c>
      <c r="X1" s="2" t="s">
        <v>46</v>
      </c>
      <c r="Y1" s="3" t="s">
        <v>13</v>
      </c>
      <c r="Z1" s="3" t="s">
        <v>14</v>
      </c>
      <c r="AA1" s="3" t="s">
        <v>15</v>
      </c>
      <c r="AB1" s="3" t="s">
        <v>16</v>
      </c>
      <c r="AC1" s="3" t="s">
        <v>17</v>
      </c>
      <c r="AD1" s="3" t="s">
        <v>18</v>
      </c>
      <c r="AE1" s="3" t="s">
        <v>19</v>
      </c>
      <c r="AF1" s="3" t="s">
        <v>20</v>
      </c>
      <c r="AG1" s="3" t="s">
        <v>21</v>
      </c>
      <c r="AH1" s="4" t="s">
        <v>22</v>
      </c>
      <c r="AI1" s="4" t="s">
        <v>23</v>
      </c>
      <c r="AJ1" s="4" t="s">
        <v>24</v>
      </c>
      <c r="AK1" s="4" t="s">
        <v>25</v>
      </c>
      <c r="AL1" s="4" t="s">
        <v>26</v>
      </c>
      <c r="AM1" s="4" t="s">
        <v>27</v>
      </c>
      <c r="AN1" s="4" t="s">
        <v>28</v>
      </c>
      <c r="AO1" s="4" t="s">
        <v>33</v>
      </c>
      <c r="AP1" s="5" t="s">
        <v>43</v>
      </c>
      <c r="AQ1" s="5" t="s">
        <v>29</v>
      </c>
      <c r="AR1" s="5" t="s">
        <v>30</v>
      </c>
      <c r="AS1" s="5" t="s">
        <v>31</v>
      </c>
      <c r="AT1" s="5" t="s">
        <v>32</v>
      </c>
      <c r="AU1" s="6" t="s">
        <v>34</v>
      </c>
    </row>
    <row r="2" spans="1:48" s="16" customFormat="1" ht="20" customHeight="1" x14ac:dyDescent="0.2">
      <c r="A2" s="16">
        <v>121</v>
      </c>
      <c r="B2" s="16" t="s">
        <v>47</v>
      </c>
      <c r="C2" s="16" t="s">
        <v>376</v>
      </c>
      <c r="D2" s="16" t="s">
        <v>48</v>
      </c>
      <c r="E2" s="16" t="s">
        <v>67</v>
      </c>
      <c r="F2" s="16">
        <v>2010</v>
      </c>
      <c r="G2" s="16" t="s">
        <v>49</v>
      </c>
      <c r="H2" s="16" t="s">
        <v>50</v>
      </c>
      <c r="I2" s="16" t="s">
        <v>51</v>
      </c>
      <c r="J2" s="16" t="s">
        <v>52</v>
      </c>
      <c r="K2" s="16" t="s">
        <v>53</v>
      </c>
      <c r="L2" s="16" t="s">
        <v>54</v>
      </c>
      <c r="M2" s="16" t="s">
        <v>55</v>
      </c>
      <c r="N2" s="16" t="s">
        <v>348</v>
      </c>
      <c r="O2" s="16" t="s">
        <v>56</v>
      </c>
      <c r="P2" s="16">
        <v>22</v>
      </c>
      <c r="Q2" s="16" t="s">
        <v>377</v>
      </c>
      <c r="S2" s="16" t="s">
        <v>378</v>
      </c>
      <c r="T2" s="16" t="s">
        <v>55</v>
      </c>
      <c r="U2" s="16" t="s">
        <v>379</v>
      </c>
      <c r="V2" s="16" t="s">
        <v>58</v>
      </c>
      <c r="W2" s="16" t="s">
        <v>59</v>
      </c>
      <c r="X2" s="16" t="s">
        <v>55</v>
      </c>
      <c r="Y2" s="19">
        <v>0.54600000000000004</v>
      </c>
      <c r="Z2" s="16" t="s">
        <v>55</v>
      </c>
      <c r="AA2" s="16" t="s">
        <v>55</v>
      </c>
      <c r="AB2" s="16" t="s">
        <v>55</v>
      </c>
      <c r="AC2" s="16" t="s">
        <v>55</v>
      </c>
      <c r="AD2" s="16" t="s">
        <v>55</v>
      </c>
      <c r="AE2" s="16" t="s">
        <v>55</v>
      </c>
      <c r="AF2" s="16" t="s">
        <v>55</v>
      </c>
      <c r="AG2" s="16" t="s">
        <v>55</v>
      </c>
      <c r="AH2" s="19">
        <v>0.68200000000000005</v>
      </c>
      <c r="AI2" s="19">
        <v>0.27300000000000002</v>
      </c>
      <c r="AJ2" s="16" t="s">
        <v>55</v>
      </c>
      <c r="AK2" s="21">
        <v>0.182</v>
      </c>
      <c r="AL2" s="21">
        <v>0.68200000000000005</v>
      </c>
      <c r="AM2" s="16" t="s">
        <v>55</v>
      </c>
      <c r="AN2" s="16" t="s">
        <v>55</v>
      </c>
      <c r="AO2" s="16" t="s">
        <v>55</v>
      </c>
      <c r="AP2" s="16" t="s">
        <v>60</v>
      </c>
      <c r="AQ2" s="20">
        <v>0</v>
      </c>
      <c r="AR2" s="20">
        <v>1</v>
      </c>
      <c r="AS2" s="16" t="s">
        <v>61</v>
      </c>
      <c r="AT2" s="16" t="s">
        <v>55</v>
      </c>
      <c r="AU2" s="16" t="s">
        <v>62</v>
      </c>
    </row>
    <row r="3" spans="1:48" ht="20" customHeight="1" x14ac:dyDescent="0.25">
      <c r="A3">
        <v>122</v>
      </c>
      <c r="B3" t="s">
        <v>63</v>
      </c>
      <c r="C3" t="s">
        <v>64</v>
      </c>
      <c r="D3" t="s">
        <v>65</v>
      </c>
      <c r="E3" t="s">
        <v>66</v>
      </c>
      <c r="F3">
        <v>2010</v>
      </c>
      <c r="G3" t="s">
        <v>68</v>
      </c>
      <c r="I3" t="s">
        <v>51</v>
      </c>
      <c r="J3" t="s">
        <v>52</v>
      </c>
      <c r="K3" t="s">
        <v>53</v>
      </c>
      <c r="L3" t="s">
        <v>70</v>
      </c>
      <c r="M3" t="s">
        <v>55</v>
      </c>
      <c r="N3" s="10" t="s">
        <v>349</v>
      </c>
      <c r="O3" t="s">
        <v>71</v>
      </c>
      <c r="P3">
        <v>76</v>
      </c>
      <c r="Q3" s="1" t="s">
        <v>380</v>
      </c>
      <c r="S3" s="1" t="s">
        <v>381</v>
      </c>
      <c r="T3" s="1" t="s">
        <v>382</v>
      </c>
      <c r="U3" s="1" t="s">
        <v>383</v>
      </c>
      <c r="V3" t="s">
        <v>181</v>
      </c>
      <c r="W3" t="s">
        <v>72</v>
      </c>
      <c r="X3" t="s">
        <v>55</v>
      </c>
      <c r="Y3" s="12">
        <v>0.36799999999999999</v>
      </c>
      <c r="Z3" t="s">
        <v>55</v>
      </c>
      <c r="AA3" t="s">
        <v>55</v>
      </c>
      <c r="AB3" t="s">
        <v>55</v>
      </c>
      <c r="AC3" t="s">
        <v>55</v>
      </c>
      <c r="AD3" s="11" t="s">
        <v>73</v>
      </c>
      <c r="AE3">
        <v>5.3</v>
      </c>
      <c r="AF3" t="s">
        <v>55</v>
      </c>
      <c r="AG3" t="s">
        <v>55</v>
      </c>
      <c r="AH3" s="7">
        <v>0.86799999999999999</v>
      </c>
      <c r="AI3" t="s">
        <v>55</v>
      </c>
      <c r="AJ3" t="s">
        <v>55</v>
      </c>
      <c r="AK3" s="7">
        <v>6.5699999999999995E-2</v>
      </c>
      <c r="AL3" t="s">
        <v>55</v>
      </c>
      <c r="AM3" t="s">
        <v>55</v>
      </c>
      <c r="AN3" t="s">
        <v>55</v>
      </c>
      <c r="AO3" s="7">
        <v>9.2100000000000001E-2</v>
      </c>
      <c r="AP3" t="s">
        <v>74</v>
      </c>
      <c r="AQ3" s="8">
        <v>1</v>
      </c>
      <c r="AR3" s="8">
        <v>0</v>
      </c>
      <c r="AS3" t="s">
        <v>75</v>
      </c>
      <c r="AT3" s="7">
        <v>0.13150000000000001</v>
      </c>
      <c r="AU3" t="s">
        <v>62</v>
      </c>
      <c r="AV3" t="s">
        <v>76</v>
      </c>
    </row>
    <row r="4" spans="1:48" ht="20" customHeight="1" x14ac:dyDescent="0.2">
      <c r="A4">
        <v>123</v>
      </c>
      <c r="B4" t="s">
        <v>77</v>
      </c>
      <c r="C4" t="s">
        <v>78</v>
      </c>
      <c r="D4" t="s">
        <v>79</v>
      </c>
      <c r="E4" t="s">
        <v>80</v>
      </c>
      <c r="F4">
        <v>2009</v>
      </c>
      <c r="H4" t="s">
        <v>384</v>
      </c>
      <c r="I4" t="s">
        <v>81</v>
      </c>
      <c r="J4" t="s">
        <v>52</v>
      </c>
      <c r="K4" t="s">
        <v>82</v>
      </c>
      <c r="L4" s="22" t="s">
        <v>83</v>
      </c>
      <c r="M4" t="s">
        <v>55</v>
      </c>
      <c r="N4" t="s">
        <v>390</v>
      </c>
      <c r="O4" t="s">
        <v>391</v>
      </c>
      <c r="P4">
        <v>218</v>
      </c>
      <c r="Q4" s="1" t="s">
        <v>385</v>
      </c>
      <c r="R4" t="s">
        <v>394</v>
      </c>
      <c r="S4" s="1" t="s">
        <v>386</v>
      </c>
      <c r="T4" s="1" t="s">
        <v>55</v>
      </c>
      <c r="U4" s="1" t="s">
        <v>387</v>
      </c>
      <c r="V4" t="s">
        <v>388</v>
      </c>
      <c r="W4" t="s">
        <v>389</v>
      </c>
      <c r="Y4" s="23">
        <v>0.376</v>
      </c>
      <c r="Z4" t="s">
        <v>55</v>
      </c>
      <c r="AA4" t="s">
        <v>55</v>
      </c>
      <c r="AB4" t="s">
        <v>55</v>
      </c>
      <c r="AC4" t="s">
        <v>55</v>
      </c>
      <c r="AD4" t="s">
        <v>55</v>
      </c>
      <c r="AE4" t="s">
        <v>395</v>
      </c>
      <c r="AF4" t="s">
        <v>396</v>
      </c>
      <c r="AG4" t="s">
        <v>55</v>
      </c>
      <c r="AH4" s="8">
        <v>1</v>
      </c>
      <c r="AI4" t="s">
        <v>55</v>
      </c>
      <c r="AJ4" t="s">
        <v>55</v>
      </c>
      <c r="AK4" t="s">
        <v>55</v>
      </c>
      <c r="AL4" t="s">
        <v>55</v>
      </c>
      <c r="AM4" s="7">
        <v>0.75700000000000001</v>
      </c>
      <c r="AN4" t="s">
        <v>55</v>
      </c>
      <c r="AO4" t="s">
        <v>55</v>
      </c>
      <c r="AP4" t="s">
        <v>85</v>
      </c>
      <c r="AQ4" s="8">
        <v>1</v>
      </c>
      <c r="AR4" s="8">
        <v>0</v>
      </c>
      <c r="AS4" s="10" t="s">
        <v>393</v>
      </c>
    </row>
    <row r="5" spans="1:48" ht="20" customHeight="1" x14ac:dyDescent="0.2">
      <c r="A5">
        <v>126</v>
      </c>
      <c r="B5" t="s">
        <v>89</v>
      </c>
      <c r="C5" t="s">
        <v>90</v>
      </c>
      <c r="D5" t="s">
        <v>91</v>
      </c>
      <c r="E5" t="s">
        <v>92</v>
      </c>
      <c r="F5">
        <v>2008</v>
      </c>
      <c r="G5" t="s">
        <v>397</v>
      </c>
      <c r="H5" t="s">
        <v>98</v>
      </c>
      <c r="I5" t="s">
        <v>51</v>
      </c>
      <c r="J5" t="s">
        <v>52</v>
      </c>
      <c r="K5" t="s">
        <v>53</v>
      </c>
      <c r="L5" t="s">
        <v>104</v>
      </c>
      <c r="M5" t="s">
        <v>55</v>
      </c>
      <c r="N5" t="s">
        <v>57</v>
      </c>
      <c r="O5" t="s">
        <v>398</v>
      </c>
      <c r="P5">
        <v>72</v>
      </c>
      <c r="Q5" s="1" t="s">
        <v>399</v>
      </c>
      <c r="S5" s="1" t="s">
        <v>400</v>
      </c>
      <c r="T5" s="1" t="s">
        <v>55</v>
      </c>
      <c r="U5" s="1" t="s">
        <v>55</v>
      </c>
      <c r="V5" t="s">
        <v>13</v>
      </c>
      <c r="W5" t="s">
        <v>93</v>
      </c>
      <c r="X5" t="s">
        <v>403</v>
      </c>
      <c r="Y5" s="7">
        <v>0.13800000000000001</v>
      </c>
      <c r="Z5" t="s">
        <v>55</v>
      </c>
      <c r="AA5" t="s">
        <v>55</v>
      </c>
      <c r="AB5" t="s">
        <v>55</v>
      </c>
      <c r="AC5" t="s">
        <v>55</v>
      </c>
      <c r="AD5" s="7">
        <v>0.16700000000000001</v>
      </c>
      <c r="AE5" t="s">
        <v>401</v>
      </c>
      <c r="AF5" t="s">
        <v>402</v>
      </c>
      <c r="AH5" t="s">
        <v>404</v>
      </c>
      <c r="AI5" t="s">
        <v>405</v>
      </c>
      <c r="AJ5" t="s">
        <v>55</v>
      </c>
      <c r="AK5" t="s">
        <v>55</v>
      </c>
      <c r="AL5" t="s">
        <v>55</v>
      </c>
      <c r="AM5" s="7">
        <v>0.31900000000000001</v>
      </c>
      <c r="AN5" t="s">
        <v>55</v>
      </c>
      <c r="AO5" t="s">
        <v>55</v>
      </c>
      <c r="AP5" t="s">
        <v>74</v>
      </c>
      <c r="AQ5" s="8">
        <v>1</v>
      </c>
      <c r="AR5" s="8">
        <v>0</v>
      </c>
      <c r="AU5" t="s">
        <v>62</v>
      </c>
    </row>
    <row r="6" spans="1:48" ht="20" customHeight="1" x14ac:dyDescent="0.2">
      <c r="A6" s="13">
        <v>127</v>
      </c>
      <c r="B6" t="s">
        <v>94</v>
      </c>
      <c r="C6" t="s">
        <v>97</v>
      </c>
      <c r="D6" t="s">
        <v>95</v>
      </c>
      <c r="E6" t="s">
        <v>96</v>
      </c>
      <c r="F6">
        <v>2007</v>
      </c>
      <c r="G6" t="s">
        <v>99</v>
      </c>
      <c r="H6" t="s">
        <v>114</v>
      </c>
      <c r="I6" t="s">
        <v>51</v>
      </c>
      <c r="J6" t="s">
        <v>52</v>
      </c>
      <c r="K6" t="s">
        <v>53</v>
      </c>
      <c r="L6" t="s">
        <v>100</v>
      </c>
      <c r="M6" t="s">
        <v>55</v>
      </c>
      <c r="N6" t="s">
        <v>350</v>
      </c>
      <c r="O6" t="s">
        <v>101</v>
      </c>
      <c r="P6">
        <v>85</v>
      </c>
      <c r="Q6" s="1" t="s">
        <v>406</v>
      </c>
      <c r="R6" t="s">
        <v>102</v>
      </c>
      <c r="S6" s="1" t="s">
        <v>410</v>
      </c>
      <c r="T6" s="1" t="s">
        <v>55</v>
      </c>
      <c r="U6" s="1" t="s">
        <v>407</v>
      </c>
      <c r="V6" t="s">
        <v>13</v>
      </c>
      <c r="W6" t="s">
        <v>103</v>
      </c>
      <c r="X6" t="s">
        <v>55</v>
      </c>
      <c r="Y6" s="8">
        <v>0.56000000000000005</v>
      </c>
      <c r="Z6" t="s">
        <v>55</v>
      </c>
      <c r="AA6" t="s">
        <v>55</v>
      </c>
      <c r="AB6" t="s">
        <v>55</v>
      </c>
      <c r="AC6" t="s">
        <v>55</v>
      </c>
      <c r="AD6" t="s">
        <v>55</v>
      </c>
      <c r="AE6" t="s">
        <v>105</v>
      </c>
      <c r="AF6" t="s">
        <v>106</v>
      </c>
      <c r="AG6" t="s">
        <v>55</v>
      </c>
      <c r="AH6" s="8">
        <v>1</v>
      </c>
      <c r="AI6" t="s">
        <v>55</v>
      </c>
      <c r="AJ6" t="s">
        <v>55</v>
      </c>
      <c r="AK6" t="s">
        <v>55</v>
      </c>
      <c r="AL6" t="s">
        <v>55</v>
      </c>
      <c r="AM6" t="s">
        <v>55</v>
      </c>
      <c r="AN6" t="s">
        <v>55</v>
      </c>
      <c r="AO6" t="s">
        <v>55</v>
      </c>
      <c r="AP6" t="s">
        <v>74</v>
      </c>
      <c r="AQ6" s="8">
        <v>1</v>
      </c>
      <c r="AR6" s="8">
        <v>0</v>
      </c>
      <c r="AS6" t="s">
        <v>108</v>
      </c>
      <c r="AT6" t="s">
        <v>55</v>
      </c>
      <c r="AU6" t="s">
        <v>62</v>
      </c>
    </row>
    <row r="7" spans="1:48" s="16" customFormat="1" ht="20" customHeight="1" x14ac:dyDescent="0.2">
      <c r="A7" s="16">
        <v>128</v>
      </c>
      <c r="B7" s="16" t="s">
        <v>112</v>
      </c>
      <c r="C7" s="16" t="s">
        <v>111</v>
      </c>
      <c r="D7" s="18" t="s">
        <v>109</v>
      </c>
      <c r="E7" s="16" t="s">
        <v>110</v>
      </c>
      <c r="F7" s="16">
        <v>2007</v>
      </c>
      <c r="G7" s="16" t="s">
        <v>113</v>
      </c>
      <c r="H7" s="16" t="s">
        <v>115</v>
      </c>
      <c r="I7" s="16" t="s">
        <v>81</v>
      </c>
      <c r="J7" s="16" t="s">
        <v>52</v>
      </c>
      <c r="K7" s="16" t="s">
        <v>53</v>
      </c>
      <c r="L7" s="16" t="s">
        <v>116</v>
      </c>
      <c r="M7" s="16" t="s">
        <v>55</v>
      </c>
      <c r="N7" s="16" t="s">
        <v>57</v>
      </c>
      <c r="P7" s="16">
        <v>822</v>
      </c>
      <c r="R7" s="16" t="s">
        <v>351</v>
      </c>
      <c r="V7" s="16" t="s">
        <v>117</v>
      </c>
      <c r="W7" s="16" t="s">
        <v>116</v>
      </c>
      <c r="X7" s="16" t="s">
        <v>55</v>
      </c>
      <c r="Y7" s="19">
        <v>0.35399999999999998</v>
      </c>
    </row>
    <row r="8" spans="1:48" s="16" customFormat="1" ht="20" customHeight="1" x14ac:dyDescent="0.2">
      <c r="A8" s="16">
        <v>130</v>
      </c>
      <c r="B8" s="24" t="s">
        <v>358</v>
      </c>
      <c r="C8" s="16" t="s">
        <v>123</v>
      </c>
      <c r="D8" s="18" t="s">
        <v>121</v>
      </c>
      <c r="E8" s="16" t="s">
        <v>122</v>
      </c>
      <c r="F8" s="16">
        <v>2007</v>
      </c>
      <c r="G8" s="16" t="s">
        <v>119</v>
      </c>
      <c r="H8" s="16" t="s">
        <v>87</v>
      </c>
      <c r="I8" s="16" t="s">
        <v>81</v>
      </c>
      <c r="J8" s="16" t="s">
        <v>52</v>
      </c>
      <c r="K8" s="16" t="s">
        <v>82</v>
      </c>
      <c r="L8" s="25" t="s">
        <v>124</v>
      </c>
      <c r="M8" s="16" t="s">
        <v>88</v>
      </c>
      <c r="N8" s="16" t="s">
        <v>57</v>
      </c>
      <c r="P8" s="16">
        <v>529</v>
      </c>
      <c r="R8" s="16" t="s">
        <v>126</v>
      </c>
      <c r="V8" s="16" t="s">
        <v>125</v>
      </c>
      <c r="Y8" s="19">
        <v>0.27900000000000003</v>
      </c>
      <c r="Z8" s="16" t="s">
        <v>55</v>
      </c>
      <c r="AA8" s="16" t="s">
        <v>55</v>
      </c>
      <c r="AB8" s="16" t="s">
        <v>55</v>
      </c>
      <c r="AC8" s="16" t="s">
        <v>55</v>
      </c>
      <c r="AD8" s="16" t="s">
        <v>55</v>
      </c>
      <c r="AE8" s="16">
        <v>16.2</v>
      </c>
      <c r="AF8" s="16" t="s">
        <v>55</v>
      </c>
      <c r="AG8" s="16" t="s">
        <v>55</v>
      </c>
      <c r="AH8" s="19">
        <v>0.65969999999999995</v>
      </c>
      <c r="AI8" s="16" t="s">
        <v>55</v>
      </c>
      <c r="AJ8" s="16" t="s">
        <v>55</v>
      </c>
      <c r="AK8" s="16" t="s">
        <v>127</v>
      </c>
      <c r="AL8" s="19">
        <v>0.80700000000000005</v>
      </c>
      <c r="AM8" s="19">
        <v>0.16800000000000001</v>
      </c>
      <c r="AN8" s="16" t="s">
        <v>55</v>
      </c>
      <c r="AO8" s="16" t="str">
        <f>+AF8</f>
        <v>N/A</v>
      </c>
      <c r="AP8" s="16" t="s">
        <v>74</v>
      </c>
      <c r="AQ8" s="20">
        <v>1</v>
      </c>
      <c r="AR8" s="20">
        <v>0</v>
      </c>
      <c r="AS8" s="16" t="s">
        <v>359</v>
      </c>
      <c r="AT8" s="16" t="s">
        <v>55</v>
      </c>
      <c r="AU8" s="16" t="s">
        <v>128</v>
      </c>
    </row>
    <row r="9" spans="1:48" ht="20" customHeight="1" x14ac:dyDescent="0.2">
      <c r="A9" s="13">
        <v>131</v>
      </c>
      <c r="B9" t="s">
        <v>132</v>
      </c>
      <c r="C9" t="s">
        <v>130</v>
      </c>
      <c r="D9" s="14" t="s">
        <v>129</v>
      </c>
      <c r="E9" t="s">
        <v>131</v>
      </c>
      <c r="F9">
        <v>2006</v>
      </c>
      <c r="G9" t="s">
        <v>133</v>
      </c>
      <c r="H9" t="s">
        <v>148</v>
      </c>
      <c r="I9" t="s">
        <v>81</v>
      </c>
      <c r="J9" t="s">
        <v>52</v>
      </c>
      <c r="K9" t="s">
        <v>53</v>
      </c>
      <c r="L9" t="s">
        <v>134</v>
      </c>
      <c r="M9" t="s">
        <v>135</v>
      </c>
      <c r="N9" t="s">
        <v>352</v>
      </c>
      <c r="O9" t="s">
        <v>136</v>
      </c>
      <c r="P9" s="15">
        <v>17869</v>
      </c>
      <c r="Q9" s="27" t="s">
        <v>408</v>
      </c>
      <c r="R9" t="s">
        <v>137</v>
      </c>
      <c r="S9" s="27" t="s">
        <v>409</v>
      </c>
      <c r="T9" s="27" t="s">
        <v>55</v>
      </c>
      <c r="U9" s="27" t="s">
        <v>411</v>
      </c>
      <c r="V9" t="s">
        <v>138</v>
      </c>
      <c r="W9" t="s">
        <v>139</v>
      </c>
      <c r="Y9" s="7">
        <v>0.34899999999999998</v>
      </c>
      <c r="Z9" t="s">
        <v>55</v>
      </c>
      <c r="AA9" t="s">
        <v>55</v>
      </c>
      <c r="AB9" t="s">
        <v>55</v>
      </c>
      <c r="AC9" t="s">
        <v>55</v>
      </c>
      <c r="AD9" s="7">
        <v>0.49399999999999999</v>
      </c>
      <c r="AE9">
        <v>5</v>
      </c>
      <c r="AF9">
        <v>21</v>
      </c>
      <c r="AG9" t="s">
        <v>55</v>
      </c>
      <c r="AH9" t="s">
        <v>140</v>
      </c>
      <c r="AI9" t="s">
        <v>55</v>
      </c>
      <c r="AJ9" t="s">
        <v>55</v>
      </c>
      <c r="AK9" t="s">
        <v>141</v>
      </c>
      <c r="AL9" t="s">
        <v>55</v>
      </c>
      <c r="AM9" t="s">
        <v>142</v>
      </c>
      <c r="AN9" t="s">
        <v>55</v>
      </c>
      <c r="AO9" t="s">
        <v>143</v>
      </c>
      <c r="AP9" t="s">
        <v>353</v>
      </c>
      <c r="AQ9" s="8" t="s">
        <v>354</v>
      </c>
      <c r="AR9" s="8">
        <v>0.02</v>
      </c>
      <c r="AS9" t="s">
        <v>55</v>
      </c>
      <c r="AT9" t="s">
        <v>55</v>
      </c>
      <c r="AU9" t="s">
        <v>62</v>
      </c>
    </row>
    <row r="10" spans="1:48" ht="20" customHeight="1" x14ac:dyDescent="0.2">
      <c r="A10" s="13">
        <v>132</v>
      </c>
      <c r="B10" s="9" t="s">
        <v>147</v>
      </c>
      <c r="C10" t="s">
        <v>145</v>
      </c>
      <c r="D10" s="14" t="s">
        <v>144</v>
      </c>
      <c r="E10" t="s">
        <v>146</v>
      </c>
      <c r="F10">
        <v>2006</v>
      </c>
      <c r="G10" t="s">
        <v>153</v>
      </c>
      <c r="H10" t="s">
        <v>87</v>
      </c>
      <c r="I10" t="s">
        <v>81</v>
      </c>
      <c r="J10" t="s">
        <v>52</v>
      </c>
      <c r="K10" t="s">
        <v>82</v>
      </c>
      <c r="L10" t="s">
        <v>149</v>
      </c>
      <c r="M10" t="s">
        <v>55</v>
      </c>
      <c r="N10" t="s">
        <v>355</v>
      </c>
      <c r="O10">
        <v>61.21</v>
      </c>
      <c r="P10">
        <v>428</v>
      </c>
      <c r="Q10" s="1" t="s">
        <v>412</v>
      </c>
      <c r="R10" t="s">
        <v>150</v>
      </c>
      <c r="S10" s="1" t="s">
        <v>413</v>
      </c>
      <c r="T10" s="1" t="s">
        <v>414</v>
      </c>
      <c r="U10" s="1" t="s">
        <v>415</v>
      </c>
      <c r="V10" t="s">
        <v>151</v>
      </c>
      <c r="X10" t="s">
        <v>152</v>
      </c>
      <c r="Y10" s="8" t="s">
        <v>154</v>
      </c>
      <c r="Z10" t="s">
        <v>55</v>
      </c>
      <c r="AA10" t="s">
        <v>55</v>
      </c>
      <c r="AB10" t="s">
        <v>55</v>
      </c>
      <c r="AC10" t="s">
        <v>55</v>
      </c>
      <c r="AD10" t="s">
        <v>55</v>
      </c>
      <c r="AE10">
        <v>15.5</v>
      </c>
      <c r="AF10" t="s">
        <v>55</v>
      </c>
      <c r="AG10" t="s">
        <v>55</v>
      </c>
      <c r="AH10" s="7">
        <v>0.79700000000000004</v>
      </c>
      <c r="AI10" t="s">
        <v>55</v>
      </c>
      <c r="AJ10" t="s">
        <v>55</v>
      </c>
      <c r="AL10" s="8">
        <v>0.5</v>
      </c>
      <c r="AP10" t="s">
        <v>155</v>
      </c>
      <c r="AQ10" s="8">
        <v>1</v>
      </c>
    </row>
    <row r="11" spans="1:48" ht="20" customHeight="1" x14ac:dyDescent="0.2">
      <c r="A11">
        <v>134</v>
      </c>
      <c r="B11" t="s">
        <v>159</v>
      </c>
      <c r="C11" t="s">
        <v>158</v>
      </c>
      <c r="D11" t="s">
        <v>157</v>
      </c>
      <c r="E11" t="s">
        <v>156</v>
      </c>
      <c r="F11">
        <v>2005</v>
      </c>
      <c r="G11" t="s">
        <v>416</v>
      </c>
      <c r="H11" t="s">
        <v>115</v>
      </c>
      <c r="I11" t="s">
        <v>51</v>
      </c>
      <c r="J11" t="s">
        <v>52</v>
      </c>
      <c r="K11" t="s">
        <v>82</v>
      </c>
      <c r="L11" t="s">
        <v>160</v>
      </c>
      <c r="M11" t="s">
        <v>55</v>
      </c>
      <c r="N11" t="s">
        <v>57</v>
      </c>
      <c r="O11" t="s">
        <v>418</v>
      </c>
      <c r="P11">
        <v>110</v>
      </c>
      <c r="Q11" s="1" t="s">
        <v>417</v>
      </c>
      <c r="R11" t="s">
        <v>419</v>
      </c>
      <c r="T11" s="1" t="s">
        <v>55</v>
      </c>
      <c r="U11" s="1" t="s">
        <v>55</v>
      </c>
      <c r="V11" t="s">
        <v>420</v>
      </c>
      <c r="Y11" t="s">
        <v>428</v>
      </c>
      <c r="Z11" t="s">
        <v>55</v>
      </c>
      <c r="AA11" t="s">
        <v>55</v>
      </c>
      <c r="AB11" t="s">
        <v>55</v>
      </c>
      <c r="AC11" t="s">
        <v>55</v>
      </c>
      <c r="AD11" t="s">
        <v>55</v>
      </c>
      <c r="AE11" t="s">
        <v>55</v>
      </c>
      <c r="AF11" t="s">
        <v>55</v>
      </c>
      <c r="AG11" t="s">
        <v>55</v>
      </c>
      <c r="AH11" s="7" t="s">
        <v>421</v>
      </c>
      <c r="AI11" t="s">
        <v>422</v>
      </c>
      <c r="AJ11" t="s">
        <v>55</v>
      </c>
      <c r="AL11" t="s">
        <v>424</v>
      </c>
      <c r="AM11" t="s">
        <v>423</v>
      </c>
      <c r="AN11" t="s">
        <v>427</v>
      </c>
      <c r="AO11" s="7" t="s">
        <v>426</v>
      </c>
      <c r="AP11" t="s">
        <v>425</v>
      </c>
      <c r="AQ11" s="7">
        <v>0.437</v>
      </c>
      <c r="AR11" t="s">
        <v>55</v>
      </c>
      <c r="AS11" t="s">
        <v>392</v>
      </c>
      <c r="AT11" t="s">
        <v>120</v>
      </c>
      <c r="AU11" t="s">
        <v>86</v>
      </c>
    </row>
    <row r="12" spans="1:48" ht="20" customHeight="1" x14ac:dyDescent="0.2">
      <c r="A12">
        <v>135</v>
      </c>
      <c r="B12" t="s">
        <v>164</v>
      </c>
      <c r="C12" t="s">
        <v>162</v>
      </c>
      <c r="D12" t="s">
        <v>161</v>
      </c>
      <c r="E12" t="s">
        <v>163</v>
      </c>
      <c r="F12">
        <v>2005</v>
      </c>
      <c r="G12" t="s">
        <v>165</v>
      </c>
      <c r="H12" t="s">
        <v>166</v>
      </c>
      <c r="I12" t="s">
        <v>51</v>
      </c>
      <c r="J12" t="s">
        <v>52</v>
      </c>
      <c r="K12" t="s">
        <v>53</v>
      </c>
      <c r="L12" t="s">
        <v>167</v>
      </c>
      <c r="M12" t="s">
        <v>55</v>
      </c>
      <c r="N12" s="10" t="s">
        <v>356</v>
      </c>
      <c r="O12" t="s">
        <v>175</v>
      </c>
      <c r="P12">
        <v>59</v>
      </c>
      <c r="Q12" s="1" t="s">
        <v>429</v>
      </c>
      <c r="S12" s="1" t="s">
        <v>430</v>
      </c>
      <c r="T12" s="1" t="s">
        <v>55</v>
      </c>
      <c r="U12" s="1" t="s">
        <v>431</v>
      </c>
      <c r="V12" t="s">
        <v>167</v>
      </c>
      <c r="Y12" s="7">
        <v>0.55900000000000005</v>
      </c>
      <c r="AE12">
        <v>10.3</v>
      </c>
      <c r="AF12">
        <v>24</v>
      </c>
      <c r="AH12" s="8">
        <v>1</v>
      </c>
      <c r="AM12" s="8">
        <v>1</v>
      </c>
      <c r="AP12" t="s">
        <v>74</v>
      </c>
      <c r="AQ12" s="8">
        <v>1</v>
      </c>
      <c r="AR12" s="8">
        <v>0</v>
      </c>
      <c r="AS12" t="s">
        <v>357</v>
      </c>
    </row>
    <row r="13" spans="1:48" ht="20" customHeight="1" x14ac:dyDescent="0.2">
      <c r="A13">
        <v>136</v>
      </c>
      <c r="B13" t="s">
        <v>171</v>
      </c>
      <c r="C13" t="s">
        <v>170</v>
      </c>
      <c r="D13" t="s">
        <v>168</v>
      </c>
      <c r="E13" t="s">
        <v>169</v>
      </c>
      <c r="F13">
        <v>2005</v>
      </c>
      <c r="G13" t="s">
        <v>172</v>
      </c>
      <c r="H13" t="s">
        <v>173</v>
      </c>
      <c r="I13" t="s">
        <v>51</v>
      </c>
      <c r="J13" t="s">
        <v>52</v>
      </c>
      <c r="K13" t="s">
        <v>82</v>
      </c>
      <c r="L13" t="s">
        <v>174</v>
      </c>
      <c r="N13" s="10" t="s">
        <v>360</v>
      </c>
      <c r="O13">
        <v>72.900000000000006</v>
      </c>
      <c r="P13">
        <v>72</v>
      </c>
      <c r="Q13" s="1" t="s">
        <v>432</v>
      </c>
      <c r="R13" t="s">
        <v>178</v>
      </c>
      <c r="S13" s="1" t="s">
        <v>433</v>
      </c>
      <c r="T13" s="1" t="s">
        <v>55</v>
      </c>
      <c r="U13" s="1" t="s">
        <v>434</v>
      </c>
      <c r="V13" t="s">
        <v>176</v>
      </c>
      <c r="W13" t="s">
        <v>177</v>
      </c>
      <c r="X13" t="s">
        <v>179</v>
      </c>
      <c r="Y13" s="7">
        <v>0.42899999999999999</v>
      </c>
      <c r="AA13" s="8">
        <v>0.66669999999999996</v>
      </c>
      <c r="AC13" s="8">
        <v>0.88570000000000004</v>
      </c>
      <c r="AD13" s="7">
        <v>0.57099999999999995</v>
      </c>
      <c r="AE13">
        <v>6</v>
      </c>
      <c r="AF13">
        <v>12</v>
      </c>
      <c r="AH13" s="7">
        <v>0.76400000000000001</v>
      </c>
      <c r="AK13" s="7">
        <v>0.2361</v>
      </c>
      <c r="AM13" s="7">
        <v>0.38879999999999998</v>
      </c>
      <c r="AN13" s="7">
        <v>0.625</v>
      </c>
      <c r="AP13" t="s">
        <v>180</v>
      </c>
      <c r="AQ13" s="8">
        <v>1</v>
      </c>
      <c r="AR13" s="8">
        <v>0</v>
      </c>
      <c r="AS13" s="10" t="s">
        <v>361</v>
      </c>
      <c r="AT13" t="s">
        <v>55</v>
      </c>
    </row>
    <row r="14" spans="1:48" ht="20" customHeight="1" x14ac:dyDescent="0.2">
      <c r="A14">
        <v>139</v>
      </c>
      <c r="B14" t="s">
        <v>186</v>
      </c>
      <c r="C14" t="s">
        <v>184</v>
      </c>
      <c r="D14" s="14" t="s">
        <v>183</v>
      </c>
      <c r="E14" t="s">
        <v>185</v>
      </c>
      <c r="F14">
        <v>2003</v>
      </c>
      <c r="G14" t="s">
        <v>435</v>
      </c>
      <c r="H14" t="s">
        <v>87</v>
      </c>
      <c r="I14" t="s">
        <v>81</v>
      </c>
      <c r="J14" t="s">
        <v>52</v>
      </c>
      <c r="K14" t="s">
        <v>53</v>
      </c>
      <c r="L14" t="s">
        <v>187</v>
      </c>
      <c r="M14" t="s">
        <v>55</v>
      </c>
      <c r="N14" t="s">
        <v>57</v>
      </c>
      <c r="O14" t="s">
        <v>436</v>
      </c>
      <c r="P14">
        <v>210</v>
      </c>
      <c r="Q14" s="1" t="s">
        <v>437</v>
      </c>
      <c r="R14" t="s">
        <v>438</v>
      </c>
      <c r="S14" s="1" t="s">
        <v>439</v>
      </c>
      <c r="T14" s="1" t="s">
        <v>55</v>
      </c>
      <c r="U14" s="1" t="s">
        <v>440</v>
      </c>
      <c r="V14" t="s">
        <v>188</v>
      </c>
      <c r="W14" t="s">
        <v>189</v>
      </c>
      <c r="Y14" s="7">
        <v>0.23499999999999999</v>
      </c>
      <c r="AH14" s="7">
        <v>0.51959999999999995</v>
      </c>
      <c r="AI14" s="7">
        <v>0.39700000000000002</v>
      </c>
      <c r="AK14" t="s">
        <v>442</v>
      </c>
      <c r="AM14" t="s">
        <v>441</v>
      </c>
      <c r="AO14" s="8">
        <v>0.1</v>
      </c>
      <c r="AP14" t="s">
        <v>74</v>
      </c>
      <c r="AQ14" s="8">
        <v>1</v>
      </c>
      <c r="AR14" s="8">
        <v>0</v>
      </c>
      <c r="AS14" t="s">
        <v>362</v>
      </c>
      <c r="AT14" t="s">
        <v>441</v>
      </c>
    </row>
    <row r="15" spans="1:48" ht="20" customHeight="1" x14ac:dyDescent="0.2">
      <c r="A15">
        <v>140</v>
      </c>
      <c r="B15" t="s">
        <v>192</v>
      </c>
      <c r="C15" t="s">
        <v>191</v>
      </c>
      <c r="D15" t="s">
        <v>190</v>
      </c>
      <c r="E15" t="s">
        <v>80</v>
      </c>
      <c r="F15">
        <v>2002</v>
      </c>
      <c r="G15" t="s">
        <v>443</v>
      </c>
      <c r="H15" t="s">
        <v>115</v>
      </c>
      <c r="I15" t="s">
        <v>51</v>
      </c>
      <c r="J15" t="s">
        <v>52</v>
      </c>
      <c r="K15" t="s">
        <v>53</v>
      </c>
      <c r="L15" t="s">
        <v>193</v>
      </c>
      <c r="N15" t="s">
        <v>363</v>
      </c>
      <c r="O15" t="s">
        <v>444</v>
      </c>
      <c r="P15">
        <v>43</v>
      </c>
      <c r="Q15" s="1" t="s">
        <v>445</v>
      </c>
      <c r="R15" t="s">
        <v>102</v>
      </c>
      <c r="S15" s="1" t="s">
        <v>449</v>
      </c>
      <c r="T15" s="1" t="s">
        <v>447</v>
      </c>
      <c r="U15" s="1" t="s">
        <v>451</v>
      </c>
      <c r="V15" t="s">
        <v>195</v>
      </c>
      <c r="W15" t="s">
        <v>194</v>
      </c>
      <c r="Y15" s="8">
        <v>0.33</v>
      </c>
      <c r="AE15" t="s">
        <v>446</v>
      </c>
      <c r="AH15" t="s">
        <v>447</v>
      </c>
      <c r="AK15" t="s">
        <v>448</v>
      </c>
      <c r="AM15" t="s">
        <v>449</v>
      </c>
      <c r="AP15" t="s">
        <v>74</v>
      </c>
      <c r="AQ15" s="8">
        <v>1</v>
      </c>
      <c r="AR15" s="8">
        <v>0</v>
      </c>
      <c r="AS15" t="s">
        <v>196</v>
      </c>
      <c r="AT15" t="s">
        <v>450</v>
      </c>
      <c r="AU15" t="s">
        <v>182</v>
      </c>
    </row>
    <row r="16" spans="1:48" ht="20" customHeight="1" x14ac:dyDescent="0.2">
      <c r="A16">
        <v>142</v>
      </c>
      <c r="B16" t="s">
        <v>198</v>
      </c>
      <c r="C16" t="s">
        <v>197</v>
      </c>
      <c r="E16" t="s">
        <v>92</v>
      </c>
      <c r="F16">
        <v>2000</v>
      </c>
      <c r="G16" t="s">
        <v>452</v>
      </c>
      <c r="H16" t="s">
        <v>199</v>
      </c>
      <c r="I16" t="s">
        <v>51</v>
      </c>
      <c r="J16" t="s">
        <v>52</v>
      </c>
      <c r="K16" t="s">
        <v>53</v>
      </c>
      <c r="L16" t="s">
        <v>200</v>
      </c>
      <c r="M16" t="s">
        <v>55</v>
      </c>
      <c r="N16" t="s">
        <v>57</v>
      </c>
      <c r="O16" t="s">
        <v>453</v>
      </c>
      <c r="P16">
        <v>144</v>
      </c>
      <c r="Q16" s="1" t="s">
        <v>454</v>
      </c>
      <c r="R16" t="s">
        <v>201</v>
      </c>
      <c r="S16" s="1" t="s">
        <v>55</v>
      </c>
      <c r="T16" s="1" t="s">
        <v>55</v>
      </c>
      <c r="U16" s="1" t="s">
        <v>55</v>
      </c>
      <c r="V16" t="s">
        <v>202</v>
      </c>
      <c r="X16" t="s">
        <v>203</v>
      </c>
      <c r="Y16" t="s">
        <v>455</v>
      </c>
      <c r="AD16" s="8">
        <v>0.66</v>
      </c>
      <c r="AH16" s="8">
        <v>1</v>
      </c>
      <c r="AL16" s="8">
        <v>0.48</v>
      </c>
      <c r="AO16" s="8">
        <v>0.57999999999999996</v>
      </c>
      <c r="AP16" t="s">
        <v>74</v>
      </c>
      <c r="AQ16" s="8" t="s">
        <v>456</v>
      </c>
      <c r="AR16" t="s">
        <v>457</v>
      </c>
      <c r="AS16" t="s">
        <v>458</v>
      </c>
    </row>
    <row r="17" spans="1:48" ht="20" customHeight="1" x14ac:dyDescent="0.2">
      <c r="A17">
        <v>143</v>
      </c>
      <c r="B17" t="s">
        <v>216</v>
      </c>
      <c r="C17" t="s">
        <v>204</v>
      </c>
      <c r="D17" t="s">
        <v>205</v>
      </c>
      <c r="E17" t="s">
        <v>118</v>
      </c>
      <c r="F17">
        <v>2012</v>
      </c>
      <c r="G17" t="s">
        <v>206</v>
      </c>
      <c r="H17" t="s">
        <v>199</v>
      </c>
      <c r="I17" t="s">
        <v>51</v>
      </c>
      <c r="J17" t="s">
        <v>52</v>
      </c>
      <c r="K17" t="s">
        <v>53</v>
      </c>
      <c r="L17" t="s">
        <v>208</v>
      </c>
      <c r="M17" t="s">
        <v>207</v>
      </c>
      <c r="N17" t="s">
        <v>209</v>
      </c>
      <c r="O17" t="s">
        <v>211</v>
      </c>
      <c r="P17">
        <v>1989</v>
      </c>
      <c r="Q17" s="1" t="s">
        <v>459</v>
      </c>
      <c r="R17" t="s">
        <v>210</v>
      </c>
      <c r="S17" s="1" t="s">
        <v>460</v>
      </c>
      <c r="T17" s="1" t="s">
        <v>55</v>
      </c>
      <c r="U17" s="1" t="s">
        <v>461</v>
      </c>
      <c r="V17" t="s">
        <v>212</v>
      </c>
      <c r="W17" t="s">
        <v>213</v>
      </c>
      <c r="X17" t="s">
        <v>214</v>
      </c>
      <c r="AA17" s="7">
        <v>0.25600000000000001</v>
      </c>
      <c r="AF17" t="s">
        <v>215</v>
      </c>
      <c r="AH17" s="7">
        <v>0.39360000000000001</v>
      </c>
      <c r="AL17" s="7">
        <v>0.23680000000000001</v>
      </c>
      <c r="AP17" t="s">
        <v>155</v>
      </c>
      <c r="AQ17" s="8">
        <v>1</v>
      </c>
      <c r="AR17" s="8">
        <v>0</v>
      </c>
      <c r="AS17" s="16" t="s">
        <v>55</v>
      </c>
      <c r="AU17" t="s">
        <v>217</v>
      </c>
    </row>
    <row r="18" spans="1:48" ht="20" customHeight="1" x14ac:dyDescent="0.2">
      <c r="A18">
        <v>144</v>
      </c>
      <c r="B18" t="s">
        <v>227</v>
      </c>
      <c r="C18" t="s">
        <v>218</v>
      </c>
      <c r="D18" t="s">
        <v>220</v>
      </c>
      <c r="E18" t="s">
        <v>219</v>
      </c>
      <c r="F18">
        <v>2005</v>
      </c>
      <c r="G18" t="s">
        <v>462</v>
      </c>
      <c r="H18" t="s">
        <v>221</v>
      </c>
      <c r="I18" t="s">
        <v>51</v>
      </c>
      <c r="J18" t="s">
        <v>52</v>
      </c>
      <c r="K18" t="s">
        <v>53</v>
      </c>
      <c r="L18" t="s">
        <v>222</v>
      </c>
      <c r="M18" t="s">
        <v>62</v>
      </c>
      <c r="N18" t="s">
        <v>57</v>
      </c>
      <c r="O18" t="s">
        <v>463</v>
      </c>
      <c r="P18">
        <v>96</v>
      </c>
      <c r="Q18" s="1" t="s">
        <v>464</v>
      </c>
      <c r="S18" s="1" t="s">
        <v>465</v>
      </c>
      <c r="T18" s="1" t="s">
        <v>55</v>
      </c>
      <c r="U18" s="1" t="s">
        <v>466</v>
      </c>
      <c r="V18" t="s">
        <v>223</v>
      </c>
      <c r="W18" t="s">
        <v>224</v>
      </c>
      <c r="Y18" s="8">
        <v>0.32</v>
      </c>
      <c r="AH18" s="8">
        <v>0.73</v>
      </c>
      <c r="AK18" t="s">
        <v>467</v>
      </c>
      <c r="AL18" s="8">
        <v>0.63</v>
      </c>
      <c r="AP18" t="s">
        <v>84</v>
      </c>
      <c r="AQ18" s="8">
        <v>0.72</v>
      </c>
      <c r="AR18" s="8">
        <v>0.28000000000000003</v>
      </c>
      <c r="AS18" t="s">
        <v>225</v>
      </c>
      <c r="AT18" t="s">
        <v>55</v>
      </c>
      <c r="AU18" t="s">
        <v>226</v>
      </c>
    </row>
    <row r="19" spans="1:48" s="16" customFormat="1" ht="20" customHeight="1" x14ac:dyDescent="0.2">
      <c r="A19" s="16">
        <v>145</v>
      </c>
      <c r="C19" s="16" t="s">
        <v>228</v>
      </c>
      <c r="D19" s="16" t="s">
        <v>229</v>
      </c>
      <c r="E19" s="16" t="s">
        <v>80</v>
      </c>
      <c r="F19" s="16">
        <v>2012</v>
      </c>
    </row>
    <row r="20" spans="1:48" s="16" customFormat="1" ht="20" customHeight="1" x14ac:dyDescent="0.2">
      <c r="A20" s="16">
        <v>146</v>
      </c>
      <c r="C20" s="18" t="s">
        <v>230</v>
      </c>
      <c r="D20" s="16" t="s">
        <v>232</v>
      </c>
      <c r="E20" s="16" t="s">
        <v>231</v>
      </c>
      <c r="F20" s="16">
        <v>2022</v>
      </c>
    </row>
    <row r="21" spans="1:48" ht="20" customHeight="1" x14ac:dyDescent="0.2">
      <c r="A21">
        <v>147</v>
      </c>
      <c r="B21" t="s">
        <v>235</v>
      </c>
      <c r="C21" t="s">
        <v>233</v>
      </c>
      <c r="D21" t="s">
        <v>243</v>
      </c>
      <c r="E21" t="s">
        <v>234</v>
      </c>
      <c r="F21">
        <v>2022</v>
      </c>
      <c r="G21" t="s">
        <v>237</v>
      </c>
      <c r="H21" t="s">
        <v>236</v>
      </c>
      <c r="I21" t="s">
        <v>51</v>
      </c>
      <c r="J21" t="s">
        <v>52</v>
      </c>
      <c r="K21" t="s">
        <v>53</v>
      </c>
      <c r="L21" t="s">
        <v>238</v>
      </c>
      <c r="M21" t="s">
        <v>62</v>
      </c>
      <c r="N21" t="s">
        <v>365</v>
      </c>
      <c r="O21" t="s">
        <v>239</v>
      </c>
      <c r="P21">
        <v>273</v>
      </c>
      <c r="Q21" s="1" t="s">
        <v>468</v>
      </c>
      <c r="R21" t="s">
        <v>179</v>
      </c>
      <c r="S21" s="1" t="s">
        <v>469</v>
      </c>
      <c r="T21" s="1" t="s">
        <v>55</v>
      </c>
      <c r="U21" s="1" t="s">
        <v>470</v>
      </c>
      <c r="V21" t="s">
        <v>240</v>
      </c>
      <c r="W21" t="s">
        <v>241</v>
      </c>
      <c r="Y21" s="7">
        <v>0.32200000000000001</v>
      </c>
      <c r="AH21" s="7">
        <v>0.25600000000000001</v>
      </c>
      <c r="AK21" s="7">
        <v>0.19800000000000001</v>
      </c>
      <c r="AP21" t="s">
        <v>107</v>
      </c>
      <c r="AQ21" s="8" t="s">
        <v>364</v>
      </c>
      <c r="AU21" t="s">
        <v>226</v>
      </c>
    </row>
    <row r="22" spans="1:48" ht="20" customHeight="1" x14ac:dyDescent="0.2">
      <c r="A22">
        <v>149</v>
      </c>
      <c r="B22" t="s">
        <v>245</v>
      </c>
      <c r="C22" t="s">
        <v>244</v>
      </c>
      <c r="D22" s="14" t="s">
        <v>242</v>
      </c>
      <c r="E22" t="s">
        <v>80</v>
      </c>
      <c r="F22">
        <v>2010</v>
      </c>
      <c r="G22" t="s">
        <v>246</v>
      </c>
      <c r="H22" t="s">
        <v>247</v>
      </c>
      <c r="I22" t="s">
        <v>51</v>
      </c>
      <c r="J22" t="s">
        <v>52</v>
      </c>
      <c r="K22" t="s">
        <v>82</v>
      </c>
      <c r="L22" t="s">
        <v>254</v>
      </c>
      <c r="N22" t="s">
        <v>366</v>
      </c>
      <c r="O22" t="s">
        <v>248</v>
      </c>
      <c r="P22">
        <v>13</v>
      </c>
      <c r="Q22" s="1" t="s">
        <v>471</v>
      </c>
      <c r="R22" t="s">
        <v>255</v>
      </c>
      <c r="S22" s="1" t="s">
        <v>472</v>
      </c>
      <c r="T22" s="1" t="s">
        <v>473</v>
      </c>
      <c r="U22" s="28" t="s">
        <v>474</v>
      </c>
      <c r="V22" t="s">
        <v>253</v>
      </c>
      <c r="Y22" s="7">
        <v>0.154</v>
      </c>
      <c r="AE22" t="s">
        <v>250</v>
      </c>
      <c r="AF22" t="s">
        <v>251</v>
      </c>
      <c r="AH22" s="8">
        <v>1</v>
      </c>
      <c r="AK22" s="7">
        <v>0.152</v>
      </c>
      <c r="AM22" s="8">
        <v>0.62</v>
      </c>
      <c r="AO22" s="8">
        <v>0.4</v>
      </c>
      <c r="AP22" t="s">
        <v>249</v>
      </c>
      <c r="AQ22" s="8">
        <v>0</v>
      </c>
      <c r="AR22" s="8">
        <v>1</v>
      </c>
      <c r="AT22" t="s">
        <v>252</v>
      </c>
    </row>
    <row r="23" spans="1:48" ht="20" customHeight="1" x14ac:dyDescent="0.2">
      <c r="A23">
        <v>150</v>
      </c>
      <c r="B23" t="s">
        <v>259</v>
      </c>
      <c r="C23" t="s">
        <v>256</v>
      </c>
      <c r="D23" t="s">
        <v>258</v>
      </c>
      <c r="E23" t="s">
        <v>257</v>
      </c>
      <c r="F23">
        <v>2010</v>
      </c>
      <c r="G23" t="s">
        <v>260</v>
      </c>
      <c r="H23" t="s">
        <v>261</v>
      </c>
      <c r="I23" t="s">
        <v>51</v>
      </c>
      <c r="J23" t="s">
        <v>69</v>
      </c>
      <c r="K23" t="s">
        <v>82</v>
      </c>
      <c r="L23" t="s">
        <v>273</v>
      </c>
      <c r="N23" t="s">
        <v>367</v>
      </c>
      <c r="O23">
        <v>76.5</v>
      </c>
      <c r="P23" t="s">
        <v>263</v>
      </c>
      <c r="Q23" s="1" t="s">
        <v>475</v>
      </c>
      <c r="R23" t="s">
        <v>476</v>
      </c>
      <c r="S23" s="1" t="s">
        <v>477</v>
      </c>
      <c r="T23" s="1" t="s">
        <v>55</v>
      </c>
      <c r="U23" s="1" t="s">
        <v>55</v>
      </c>
      <c r="V23" t="s">
        <v>262</v>
      </c>
      <c r="X23" t="s">
        <v>152</v>
      </c>
      <c r="Y23" s="8" t="s">
        <v>264</v>
      </c>
      <c r="AF23" t="s">
        <v>265</v>
      </c>
      <c r="AH23" s="8">
        <v>0.5</v>
      </c>
      <c r="AI23" s="8">
        <v>0.5</v>
      </c>
      <c r="AK23" s="7">
        <v>3.3000000000000002E-2</v>
      </c>
      <c r="AM23" s="7">
        <v>6.7000000000000004E-2</v>
      </c>
      <c r="AP23" t="s">
        <v>266</v>
      </c>
      <c r="AQ23" s="8">
        <v>0.7</v>
      </c>
      <c r="AR23" t="s">
        <v>55</v>
      </c>
      <c r="AS23" t="s">
        <v>267</v>
      </c>
      <c r="AT23" s="8">
        <v>0.2</v>
      </c>
      <c r="AU23" t="s">
        <v>62</v>
      </c>
    </row>
    <row r="24" spans="1:48" ht="20" customHeight="1" x14ac:dyDescent="0.2">
      <c r="A24">
        <v>151</v>
      </c>
      <c r="B24" t="s">
        <v>270</v>
      </c>
      <c r="C24" t="s">
        <v>268</v>
      </c>
      <c r="D24" t="s">
        <v>269</v>
      </c>
      <c r="E24" t="s">
        <v>146</v>
      </c>
      <c r="F24">
        <v>2010</v>
      </c>
      <c r="G24" t="s">
        <v>275</v>
      </c>
      <c r="H24" t="s">
        <v>271</v>
      </c>
      <c r="I24" t="s">
        <v>51</v>
      </c>
      <c r="J24" t="s">
        <v>274</v>
      </c>
      <c r="K24" t="s">
        <v>53</v>
      </c>
      <c r="L24" t="s">
        <v>272</v>
      </c>
      <c r="N24" t="s">
        <v>368</v>
      </c>
      <c r="O24">
        <v>61.7</v>
      </c>
      <c r="P24">
        <v>103</v>
      </c>
      <c r="Q24" s="1" t="s">
        <v>478</v>
      </c>
      <c r="R24" t="s">
        <v>276</v>
      </c>
      <c r="T24" s="1" t="s">
        <v>55</v>
      </c>
      <c r="U24" s="1" t="s">
        <v>55</v>
      </c>
      <c r="V24" t="s">
        <v>277</v>
      </c>
      <c r="Y24" s="8"/>
      <c r="AD24" s="8">
        <v>0.35</v>
      </c>
      <c r="AE24">
        <v>4.95</v>
      </c>
      <c r="AF24">
        <v>10.75</v>
      </c>
      <c r="AH24" s="7">
        <v>0.83499999999999996</v>
      </c>
      <c r="AL24" s="8">
        <v>0.73</v>
      </c>
      <c r="AP24" t="s">
        <v>285</v>
      </c>
      <c r="AQ24" t="s">
        <v>55</v>
      </c>
      <c r="AR24" t="s">
        <v>55</v>
      </c>
      <c r="AS24" t="s">
        <v>55</v>
      </c>
      <c r="AT24" t="s">
        <v>55</v>
      </c>
      <c r="AU24" t="s">
        <v>62</v>
      </c>
    </row>
    <row r="25" spans="1:48" s="16" customFormat="1" ht="20" customHeight="1" x14ac:dyDescent="0.2">
      <c r="A25" s="16">
        <v>153</v>
      </c>
      <c r="B25" s="16" t="s">
        <v>293</v>
      </c>
      <c r="C25" s="16" t="s">
        <v>278</v>
      </c>
      <c r="D25" s="16" t="s">
        <v>279</v>
      </c>
      <c r="E25" s="18" t="s">
        <v>118</v>
      </c>
      <c r="F25" s="16">
        <v>2009</v>
      </c>
      <c r="G25" s="16" t="s">
        <v>288</v>
      </c>
      <c r="H25" s="16" t="s">
        <v>287</v>
      </c>
      <c r="I25" s="16" t="s">
        <v>81</v>
      </c>
      <c r="J25" s="16" t="s">
        <v>52</v>
      </c>
      <c r="K25" s="16" t="s">
        <v>82</v>
      </c>
      <c r="L25" s="16" t="s">
        <v>280</v>
      </c>
      <c r="M25" s="16" t="s">
        <v>286</v>
      </c>
      <c r="N25" s="16" t="s">
        <v>369</v>
      </c>
      <c r="O25" s="19" t="s">
        <v>314</v>
      </c>
      <c r="P25" s="16">
        <v>453</v>
      </c>
      <c r="R25" s="16" t="s">
        <v>281</v>
      </c>
      <c r="V25" s="16" t="s">
        <v>282</v>
      </c>
      <c r="W25" s="16" t="s">
        <v>283</v>
      </c>
      <c r="Z25" s="19">
        <v>0.155</v>
      </c>
      <c r="AF25" s="16" t="s">
        <v>284</v>
      </c>
      <c r="AH25" s="19">
        <v>0.26700000000000002</v>
      </c>
      <c r="AL25" s="16">
        <v>5.3</v>
      </c>
      <c r="AP25" s="16" t="s">
        <v>285</v>
      </c>
      <c r="AV25" s="16" t="s">
        <v>289</v>
      </c>
    </row>
    <row r="26" spans="1:48" ht="20" customHeight="1" x14ac:dyDescent="0.2">
      <c r="A26">
        <v>154</v>
      </c>
      <c r="B26" t="s">
        <v>294</v>
      </c>
      <c r="C26" t="s">
        <v>292</v>
      </c>
      <c r="D26" t="s">
        <v>290</v>
      </c>
      <c r="E26" t="s">
        <v>291</v>
      </c>
      <c r="F26">
        <v>2007</v>
      </c>
      <c r="G26" t="s">
        <v>295</v>
      </c>
      <c r="H26" t="s">
        <v>166</v>
      </c>
      <c r="I26" t="s">
        <v>51</v>
      </c>
      <c r="J26" t="s">
        <v>69</v>
      </c>
      <c r="K26" t="s">
        <v>82</v>
      </c>
      <c r="L26" t="s">
        <v>304</v>
      </c>
      <c r="M26" t="s">
        <v>55</v>
      </c>
      <c r="N26" s="10" t="s">
        <v>370</v>
      </c>
      <c r="O26">
        <v>62.3</v>
      </c>
      <c r="P26">
        <v>22</v>
      </c>
      <c r="Q26" s="1" t="s">
        <v>479</v>
      </c>
      <c r="R26" t="s">
        <v>296</v>
      </c>
      <c r="S26" s="1" t="s">
        <v>480</v>
      </c>
      <c r="T26" s="1" t="s">
        <v>55</v>
      </c>
      <c r="U26" s="1" t="s">
        <v>481</v>
      </c>
      <c r="V26" t="s">
        <v>297</v>
      </c>
      <c r="W26" t="s">
        <v>298</v>
      </c>
      <c r="X26" t="s">
        <v>299</v>
      </c>
      <c r="Y26" s="7"/>
      <c r="Z26" s="7">
        <v>0.36399999999999999</v>
      </c>
      <c r="AH26" s="8">
        <v>1</v>
      </c>
      <c r="AO26" s="8">
        <v>1</v>
      </c>
      <c r="AP26" t="s">
        <v>326</v>
      </c>
      <c r="AU26" t="s">
        <v>62</v>
      </c>
    </row>
    <row r="27" spans="1:48" ht="20" customHeight="1" x14ac:dyDescent="0.2">
      <c r="A27">
        <v>155</v>
      </c>
      <c r="B27" t="s">
        <v>303</v>
      </c>
      <c r="C27" t="s">
        <v>300</v>
      </c>
      <c r="D27" s="14" t="s">
        <v>302</v>
      </c>
      <c r="E27" t="s">
        <v>301</v>
      </c>
      <c r="F27">
        <v>2016</v>
      </c>
      <c r="G27" t="s">
        <v>482</v>
      </c>
      <c r="H27" t="s">
        <v>261</v>
      </c>
      <c r="I27" t="s">
        <v>81</v>
      </c>
      <c r="J27" t="s">
        <v>52</v>
      </c>
      <c r="K27" t="s">
        <v>82</v>
      </c>
      <c r="L27" t="s">
        <v>305</v>
      </c>
      <c r="M27" t="s">
        <v>55</v>
      </c>
      <c r="N27" t="s">
        <v>371</v>
      </c>
      <c r="O27" t="s">
        <v>484</v>
      </c>
      <c r="P27">
        <v>127</v>
      </c>
      <c r="Q27" s="1" t="s">
        <v>483</v>
      </c>
      <c r="R27" t="s">
        <v>329</v>
      </c>
      <c r="S27" s="1" t="s">
        <v>55</v>
      </c>
      <c r="T27" s="1" t="s">
        <v>55</v>
      </c>
      <c r="U27" s="1" t="s">
        <v>55</v>
      </c>
      <c r="V27" t="s">
        <v>306</v>
      </c>
      <c r="X27" t="s">
        <v>307</v>
      </c>
      <c r="AD27" t="s">
        <v>485</v>
      </c>
      <c r="AH27" s="7">
        <v>0.251</v>
      </c>
      <c r="AI27" s="8">
        <v>1</v>
      </c>
      <c r="AP27" t="s">
        <v>84</v>
      </c>
      <c r="AQ27" t="s">
        <v>485</v>
      </c>
      <c r="AR27" t="s">
        <v>486</v>
      </c>
      <c r="AS27" s="10" t="s">
        <v>487</v>
      </c>
      <c r="AT27" t="s">
        <v>55</v>
      </c>
      <c r="AU27" t="s">
        <v>62</v>
      </c>
    </row>
    <row r="28" spans="1:48" s="16" customFormat="1" ht="20" customHeight="1" x14ac:dyDescent="0.2">
      <c r="A28" s="16">
        <v>156</v>
      </c>
      <c r="B28" s="16" t="s">
        <v>309</v>
      </c>
      <c r="C28" s="16" t="s">
        <v>308</v>
      </c>
      <c r="E28" s="16" t="s">
        <v>118</v>
      </c>
      <c r="F28" s="16">
        <v>2015</v>
      </c>
      <c r="G28" s="16" t="s">
        <v>310</v>
      </c>
      <c r="H28" s="16" t="s">
        <v>311</v>
      </c>
      <c r="I28" s="16" t="s">
        <v>81</v>
      </c>
      <c r="J28" s="16" t="s">
        <v>52</v>
      </c>
      <c r="K28" s="16" t="s">
        <v>53</v>
      </c>
      <c r="L28" s="16" t="s">
        <v>312</v>
      </c>
      <c r="M28" s="16" t="s">
        <v>313</v>
      </c>
      <c r="N28" s="16" t="s">
        <v>57</v>
      </c>
      <c r="O28" s="16">
        <v>54.5</v>
      </c>
      <c r="P28" s="16">
        <v>26</v>
      </c>
      <c r="Q28" s="1" t="s">
        <v>488</v>
      </c>
      <c r="S28" s="1"/>
      <c r="T28" s="1"/>
      <c r="U28" s="1"/>
      <c r="V28" s="16" t="s">
        <v>315</v>
      </c>
      <c r="Z28" s="19">
        <v>0.192</v>
      </c>
      <c r="AC28" s="19">
        <v>0.308</v>
      </c>
      <c r="AH28" s="19">
        <v>0.92300000000000004</v>
      </c>
      <c r="AK28" s="19">
        <v>0.154</v>
      </c>
      <c r="AM28" s="19">
        <v>0.38500000000000001</v>
      </c>
      <c r="AN28" s="19"/>
      <c r="AO28" s="19">
        <v>0.92300000000000004</v>
      </c>
      <c r="AP28" s="16" t="s">
        <v>60</v>
      </c>
      <c r="AQ28" s="20">
        <v>0</v>
      </c>
      <c r="AR28" s="20">
        <v>0.42299999999999999</v>
      </c>
      <c r="AS28" s="16" t="s">
        <v>316</v>
      </c>
      <c r="AT28" s="26">
        <v>0.5</v>
      </c>
      <c r="AU28" s="16" t="s">
        <v>62</v>
      </c>
    </row>
    <row r="29" spans="1:48" ht="20" customHeight="1" x14ac:dyDescent="0.2">
      <c r="A29">
        <v>157</v>
      </c>
      <c r="B29" s="17" t="s">
        <v>320</v>
      </c>
      <c r="C29" t="s">
        <v>317</v>
      </c>
      <c r="D29" t="s">
        <v>319</v>
      </c>
      <c r="E29" t="s">
        <v>318</v>
      </c>
      <c r="F29">
        <v>2025</v>
      </c>
      <c r="G29" t="s">
        <v>325</v>
      </c>
      <c r="H29" t="s">
        <v>311</v>
      </c>
      <c r="I29" t="s">
        <v>51</v>
      </c>
      <c r="J29" t="s">
        <v>52</v>
      </c>
      <c r="K29" t="s">
        <v>53</v>
      </c>
      <c r="L29" t="s">
        <v>321</v>
      </c>
      <c r="M29" t="s">
        <v>55</v>
      </c>
      <c r="N29" t="s">
        <v>57</v>
      </c>
      <c r="O29" t="s">
        <v>322</v>
      </c>
      <c r="P29">
        <v>125</v>
      </c>
      <c r="Q29" s="1" t="s">
        <v>489</v>
      </c>
      <c r="R29" t="s">
        <v>102</v>
      </c>
      <c r="S29" s="1" t="s">
        <v>491</v>
      </c>
      <c r="T29" s="1" t="s">
        <v>55</v>
      </c>
      <c r="U29" s="1" t="s">
        <v>490</v>
      </c>
      <c r="V29" t="s">
        <v>323</v>
      </c>
      <c r="W29" t="s">
        <v>324</v>
      </c>
      <c r="Z29" s="7">
        <v>0.32800000000000001</v>
      </c>
      <c r="AM29" s="7">
        <v>0.67200000000000004</v>
      </c>
      <c r="AU29" t="s">
        <v>372</v>
      </c>
    </row>
    <row r="30" spans="1:48" ht="20" customHeight="1" x14ac:dyDescent="0.2">
      <c r="A30">
        <v>160</v>
      </c>
      <c r="B30" t="s">
        <v>340</v>
      </c>
      <c r="C30" t="s">
        <v>337</v>
      </c>
      <c r="D30" t="s">
        <v>339</v>
      </c>
      <c r="E30" t="s">
        <v>338</v>
      </c>
      <c r="F30">
        <v>2024</v>
      </c>
      <c r="G30" t="s">
        <v>341</v>
      </c>
      <c r="H30" t="s">
        <v>311</v>
      </c>
      <c r="I30" t="s">
        <v>51</v>
      </c>
      <c r="J30" t="s">
        <v>52</v>
      </c>
      <c r="K30" t="s">
        <v>53</v>
      </c>
      <c r="L30" t="s">
        <v>342</v>
      </c>
      <c r="M30" t="s">
        <v>55</v>
      </c>
      <c r="N30" s="10" t="s">
        <v>343</v>
      </c>
      <c r="O30" t="s">
        <v>344</v>
      </c>
      <c r="P30">
        <v>101</v>
      </c>
      <c r="Q30" s="1" t="s">
        <v>493</v>
      </c>
      <c r="R30" t="s">
        <v>345</v>
      </c>
      <c r="S30" s="1" t="s">
        <v>55</v>
      </c>
      <c r="T30" s="1" t="s">
        <v>55</v>
      </c>
      <c r="U30" s="1" t="s">
        <v>55</v>
      </c>
      <c r="V30" s="10" t="s">
        <v>346</v>
      </c>
      <c r="Y30" s="7">
        <v>0.58420000000000005</v>
      </c>
      <c r="AH30" s="8">
        <v>1</v>
      </c>
      <c r="AM30" s="7">
        <v>0.8911</v>
      </c>
      <c r="AP30" t="s">
        <v>347</v>
      </c>
      <c r="AV30" t="s">
        <v>62</v>
      </c>
    </row>
  </sheetData>
  <dataValidations count="3">
    <dataValidation type="list" allowBlank="1" showInputMessage="1" showErrorMessage="1" sqref="K1:K1048576" xr:uid="{1EF9AC53-BC12-0146-A568-B4221EA47210}">
      <formula1>"Prospective, Retrospective"</formula1>
    </dataValidation>
    <dataValidation type="list" allowBlank="1" showInputMessage="1" showErrorMessage="1" sqref="I1:I1048576" xr:uid="{580E620B-60D2-F74C-8F5C-CA7C5D4444A5}">
      <formula1>"Single-centre, Multi-centre"</formula1>
    </dataValidation>
    <dataValidation type="list" allowBlank="1" showInputMessage="1" showErrorMessage="1" sqref="J2:J1048576" xr:uid="{F7DB8FD9-D873-5040-81FC-FC03B3FBBA63}">
      <formula1>"Cohort, Case-Control, Cross-Sectional"</formula1>
    </dataValidation>
  </dataValidations>
  <hyperlinks>
    <hyperlink ref="B8" r:id="rId1" xr:uid="{4B260601-1BD1-2F4B-80D3-8E99E16A72B8}"/>
    <hyperlink ref="B10" r:id="rId2" xr:uid="{D3846A56-1146-FE41-94A6-B630BC78ED66}"/>
    <hyperlink ref="B29" r:id="rId3" xr:uid="{398D3735-B60D-774D-B443-ADCC5E562609}"/>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8FFD-DC66-0943-AF59-47279D003E40}">
  <dimension ref="A1:AQ2"/>
  <sheetViews>
    <sheetView workbookViewId="0">
      <pane ySplit="1" topLeftCell="A2" activePane="bottomLeft" state="frozen"/>
      <selection pane="bottomLeft" activeCell="D7" sqref="D7"/>
    </sheetView>
  </sheetViews>
  <sheetFormatPr baseColWidth="10" defaultRowHeight="16" x14ac:dyDescent="0.2"/>
  <cols>
    <col min="43" max="43" width="12.6640625" customWidth="1"/>
  </cols>
  <sheetData>
    <row r="1" spans="1:43" x14ac:dyDescent="0.2">
      <c r="A1" s="1" t="s">
        <v>40</v>
      </c>
      <c r="B1" s="1" t="s">
        <v>44</v>
      </c>
      <c r="C1" s="1" t="s">
        <v>41</v>
      </c>
      <c r="D1" s="1" t="s">
        <v>39</v>
      </c>
      <c r="E1" s="1" t="s">
        <v>0</v>
      </c>
      <c r="F1" s="1" t="s">
        <v>1</v>
      </c>
      <c r="G1" s="1" t="s">
        <v>42</v>
      </c>
      <c r="H1" s="1" t="s">
        <v>2</v>
      </c>
      <c r="I1" s="1" t="s">
        <v>9</v>
      </c>
      <c r="J1" s="1" t="s">
        <v>35</v>
      </c>
      <c r="K1" s="2" t="s">
        <v>3</v>
      </c>
      <c r="L1" s="2" t="s">
        <v>4</v>
      </c>
      <c r="M1" s="2" t="s">
        <v>12</v>
      </c>
      <c r="N1" s="2" t="s">
        <v>10</v>
      </c>
      <c r="O1" s="2" t="s">
        <v>11</v>
      </c>
      <c r="P1" s="2" t="s">
        <v>5</v>
      </c>
      <c r="Q1" s="2" t="s">
        <v>6</v>
      </c>
      <c r="R1" s="2" t="s">
        <v>7</v>
      </c>
      <c r="S1" s="2" t="s">
        <v>8</v>
      </c>
      <c r="T1" s="2" t="s">
        <v>46</v>
      </c>
      <c r="U1" s="3" t="s">
        <v>13</v>
      </c>
      <c r="V1" s="3" t="s">
        <v>14</v>
      </c>
      <c r="W1" s="3" t="s">
        <v>15</v>
      </c>
      <c r="X1" s="3" t="s">
        <v>16</v>
      </c>
      <c r="Y1" s="3" t="s">
        <v>17</v>
      </c>
      <c r="Z1" s="3" t="s">
        <v>18</v>
      </c>
      <c r="AA1" s="3" t="s">
        <v>19</v>
      </c>
      <c r="AB1" s="3" t="s">
        <v>20</v>
      </c>
      <c r="AC1" s="3" t="s">
        <v>21</v>
      </c>
      <c r="AD1" s="4" t="s">
        <v>22</v>
      </c>
      <c r="AE1" s="4" t="s">
        <v>23</v>
      </c>
      <c r="AF1" s="4" t="s">
        <v>24</v>
      </c>
      <c r="AG1" s="4" t="s">
        <v>25</v>
      </c>
      <c r="AH1" s="4" t="s">
        <v>26</v>
      </c>
      <c r="AI1" s="4" t="s">
        <v>27</v>
      </c>
      <c r="AJ1" s="4" t="s">
        <v>28</v>
      </c>
      <c r="AK1" s="4" t="s">
        <v>33</v>
      </c>
      <c r="AL1" s="5" t="s">
        <v>43</v>
      </c>
      <c r="AM1" s="5" t="s">
        <v>29</v>
      </c>
      <c r="AN1" s="5" t="s">
        <v>30</v>
      </c>
      <c r="AO1" s="5" t="s">
        <v>31</v>
      </c>
      <c r="AP1" s="5" t="s">
        <v>32</v>
      </c>
      <c r="AQ1" s="6" t="s">
        <v>34</v>
      </c>
    </row>
    <row r="2" spans="1:43" s="16" customFormat="1" x14ac:dyDescent="0.2">
      <c r="A2" s="16">
        <v>159</v>
      </c>
      <c r="B2" s="16" t="s">
        <v>328</v>
      </c>
      <c r="C2" s="16" t="s">
        <v>327</v>
      </c>
      <c r="D2" s="16" t="s">
        <v>492</v>
      </c>
      <c r="E2" s="16" t="s">
        <v>92</v>
      </c>
      <c r="F2" s="16">
        <v>2025</v>
      </c>
      <c r="I2" s="16" t="s">
        <v>81</v>
      </c>
      <c r="J2" s="16" t="s">
        <v>330</v>
      </c>
      <c r="K2" s="16" t="s">
        <v>331</v>
      </c>
      <c r="M2" s="16">
        <v>349</v>
      </c>
      <c r="N2" s="16" t="s">
        <v>332</v>
      </c>
      <c r="O2" s="16" t="s">
        <v>333</v>
      </c>
      <c r="P2" s="16" t="s">
        <v>335</v>
      </c>
      <c r="Q2" s="16" t="s">
        <v>334</v>
      </c>
      <c r="R2" s="16" t="s">
        <v>336</v>
      </c>
    </row>
  </sheetData>
  <dataValidations count="5">
    <dataValidation type="list" allowBlank="1" showInputMessage="1" showErrorMessage="1" sqref="I2:I1048576" xr:uid="{907A26E8-D67B-4E49-BEDB-F757425C5A55}">
      <formula1>"Multi-centre, Single-centre"</formula1>
    </dataValidation>
    <dataValidation type="list" errorStyle="warning" allowBlank="1" showInputMessage="1" sqref="L2:L1048576" xr:uid="{0EF5B6E7-7341-C846-8DF3-6B6E4688FD1B}">
      <formula1>"Adults&gt;=18y, Adults 18-64y, Adults&gt;=65y"</formula1>
    </dataValidation>
    <dataValidation type="list" allowBlank="1" showInputMessage="1" sqref="H3:H1048576" xr:uid="{FEFE7E74-6268-894E-962F-D13A2E885FEB}">
      <formula1>"Afghanistan, Albania, Algeria, Andorra, Angola, Antigua and Barbuda, Argentina, Armenia, Australia, Austria, Azerbaijan, Bahamas, Bahrain, Bangladesh, Barbados, Belarus, Belgium, Belize, Benin, Bhutan, Bolivia, Bosnia and Herzegovina, Botswana, Brazil, Br"</formula1>
    </dataValidation>
    <dataValidation type="list" allowBlank="1" showInputMessage="1" sqref="H2" xr:uid="{CBECA05E-D095-8442-98A7-B7581DBE6808}">
      <formula1>"UK, USA, China, Turkey, India, Canada, Mexico, Brazil, Finland"</formula1>
    </dataValidation>
    <dataValidation type="list" allowBlank="1" showInputMessage="1" sqref="N2:N1048576 O1048536:O1048576" xr:uid="{E855FDAE-F41F-D74B-8A4B-BF6D6B994C2B}">
      <formula1>"Yes, 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D5A1-FE3D-9541-93A7-D7EFC36B235A}">
  <dimension ref="A1"/>
  <sheetViews>
    <sheetView workbookViewId="0">
      <selection activeCell="C6" sqref="C6"/>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Observational</vt:lpstr>
      <vt:lpstr>RCT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Dabke</dc:creator>
  <cp:lastModifiedBy>Tanvi Dabke</cp:lastModifiedBy>
  <dcterms:created xsi:type="dcterms:W3CDTF">2025-10-13T09:26:59Z</dcterms:created>
  <dcterms:modified xsi:type="dcterms:W3CDTF">2026-06-02T20:13:41Z</dcterms:modified>
</cp:coreProperties>
</file>