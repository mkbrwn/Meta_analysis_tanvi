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defaultThemeVersion="202300"/>
  <mc:AlternateContent xmlns:mc="http://schemas.openxmlformats.org/markup-compatibility/2006">
    <mc:Choice Requires="x15">
      <x15ac:absPath xmlns:x15ac="http://schemas.microsoft.com/office/spreadsheetml/2010/11/ac" url="/Users/tanvidabke/Documents/CAP Systematic Review/Completed extractions/To send to Mark- deleted exclusions/"/>
    </mc:Choice>
  </mc:AlternateContent>
  <xr:revisionPtr revIDLastSave="0" documentId="13_ncr:1_{A273B2AE-7305-D44C-8421-AAAB0EDAE79C}" xr6:coauthVersionLast="47" xr6:coauthVersionMax="47" xr10:uidLastSave="{00000000-0000-0000-0000-000000000000}"/>
  <bookViews>
    <workbookView xWindow="0" yWindow="660" windowWidth="14360" windowHeight="16080" xr2:uid="{5AAF840C-BCB8-6B4F-AE80-D2DC9A3D2BEF}"/>
  </bookViews>
  <sheets>
    <sheet name="Observational" sheetId="2" r:id="rId1"/>
    <sheet name="RCT" sheetId="1" r:id="rId2"/>
  </sheets>
  <definedNames>
    <definedName name="_xlnm._FilterDatabase" localSheetId="0" hidden="1">Observational!#REF!</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<sst xmlns="http://schemas.openxmlformats.org/spreadsheetml/2006/main" count="1020" uniqueCount="548">
  <si>
    <t>Journal</t>
  </si>
  <si>
    <t>Year published</t>
  </si>
  <si>
    <t>Country</t>
  </si>
  <si>
    <t>Population</t>
  </si>
  <si>
    <t>Age</t>
  </si>
  <si>
    <t>Intervention group</t>
  </si>
  <si>
    <t>Control group</t>
  </si>
  <si>
    <t>Primary outcome</t>
  </si>
  <si>
    <t>Secondary outcomes</t>
  </si>
  <si>
    <t>Centre (single or multi)</t>
  </si>
  <si>
    <t>Randomised?</t>
  </si>
  <si>
    <t>Blinded?</t>
  </si>
  <si>
    <t>Number of participants</t>
  </si>
  <si>
    <t>ICU mortality</t>
  </si>
  <si>
    <t>28d mortality</t>
  </si>
  <si>
    <t>30d mortality</t>
  </si>
  <si>
    <t xml:space="preserve">60d mortality </t>
  </si>
  <si>
    <t>90d mortality</t>
  </si>
  <si>
    <t>Hospital mortality</t>
  </si>
  <si>
    <t>ICU length of stay</t>
  </si>
  <si>
    <t>Hospital length of stay</t>
  </si>
  <si>
    <t>Survival to hospital discharge</t>
  </si>
  <si>
    <t>Mechnical ventilation (proportion requiring)</t>
  </si>
  <si>
    <t>NIV (proportion requiring)</t>
  </si>
  <si>
    <t>ECMO (proportion requiring)</t>
  </si>
  <si>
    <t>RRT (proportion requiring)</t>
  </si>
  <si>
    <t>Vasopressor / inotropic support (proportion requiring)</t>
  </si>
  <si>
    <t>Septic shock (proportion with)</t>
  </si>
  <si>
    <t>Respiratory failure (proportion with)</t>
  </si>
  <si>
    <t>Bacterial (proportion)</t>
  </si>
  <si>
    <t>Viral (proportion)</t>
  </si>
  <si>
    <t>Specific causative agent</t>
  </si>
  <si>
    <t>Secondary infection</t>
  </si>
  <si>
    <t>ARDS (proportion with)</t>
  </si>
  <si>
    <t>Funding sources</t>
  </si>
  <si>
    <t>Brief description of study objective</t>
  </si>
  <si>
    <t>Groups if applicable (e.g. if case-control, cohort)</t>
  </si>
  <si>
    <t>Study design</t>
  </si>
  <si>
    <t>Prospective or Retrospective?</t>
  </si>
  <si>
    <t>Title</t>
  </si>
  <si>
    <t>Study number</t>
  </si>
  <si>
    <t>Authors</t>
  </si>
  <si>
    <t>Years over which the data was actually collected, e.g. a study published in 2005 may have used data from 1993-1996.</t>
  </si>
  <si>
    <t>Aetiology (mixed, bacterial, viral, fungal etc)</t>
  </si>
  <si>
    <t>Full text link</t>
  </si>
  <si>
    <t>Data from dataset? E.g. MIMIC, ICNARC, CAPNETZ</t>
  </si>
  <si>
    <t>Any special groups? E.g. COPD, SLE, diabetes, sepsis etc.</t>
  </si>
  <si>
    <t>https://link.springer.com/article/10.1007/s00393-022-01172-x</t>
  </si>
  <si>
    <t>Zhang B. and Zheng L. and Huang Y.</t>
  </si>
  <si>
    <t>Severe pneumonia in patients with systemic lupus erythematosus admitted to the intensive care unit</t>
  </si>
  <si>
    <t>Zeitschrift fur Rheumatologie</t>
  </si>
  <si>
    <t>2008-2020</t>
  </si>
  <si>
    <t>https://libkey.io/libraries/2725/openurl?genre=article&amp;sid=OVID:medline&amp;id=pmid:25702844&amp;id=doi:10.1016%2Fj.jcrc.2015.01.001&amp;issn=0883-9441&amp;isbn=&amp;volume=30&amp;issue=3&amp;spage=506&amp;pages=506-10&amp;date=2015&amp;title=Journal+of+Critical+Care&amp;atitle=Decreased+serum+level+of+lipoprotein+cholesterol+is+a+poor+prognostic+factor+for+patients+with+severe+community-acquired+pneumonia+that+required+intensive+care+unit+admission.&amp;aulast=Chien&amp;pid=%3Cauthor%3EChien+YF%3BChen+CY%3BHsu+CL%3BChen+KY%3BYu+CJ%3C%2Fauthor%3E%3CAN%3E25702844%3C%2FAN%3E%3CDT%3EJournal+Article%3C%2FDT%3E</t>
  </si>
  <si>
    <t>Chien, Yu-Fen and Chen, Chung-Yu and Hsu, Chia-Lin and Chen, Kuan-Yu and Yu, Chong-Jen</t>
  </si>
  <si>
    <t>Decreased serum level of lipoprotein cholesterol is a poor prognostic factor for patients with severe community-acquired pneumonia that required intensive care unit admission.</t>
  </si>
  <si>
    <t>Journal of critical care</t>
  </si>
  <si>
    <t>investigate the prognostic values of the serum levels of lipids in patients with sCAP</t>
  </si>
  <si>
    <t>2006-2009</t>
  </si>
  <si>
    <t>Taiwan</t>
  </si>
  <si>
    <t>Single-centre</t>
  </si>
  <si>
    <t>Prospective</t>
  </si>
  <si>
    <t>Cross-Sectional</t>
  </si>
  <si>
    <t>N/A</t>
  </si>
  <si>
    <t>ICU and hospital mortality</t>
  </si>
  <si>
    <t xml:space="preserve">Diabetes, HTN, CHF, COPD, prev. CVA, liver cirrhosis, CKD, malignancy </t>
  </si>
  <si>
    <t>n=10</t>
  </si>
  <si>
    <t>n=5</t>
  </si>
  <si>
    <t>n=13 (32.5%)</t>
  </si>
  <si>
    <t>n=29</t>
  </si>
  <si>
    <t xml:space="preserve">Not documented </t>
  </si>
  <si>
    <t xml:space="preserve">Comments </t>
  </si>
  <si>
    <t>Positive blood culture n=9 (22.5%); Gram-negative microorganism n=19 (47.5%); Gram-positive microorganism n=3 (7.5%); mixed 7 (17.5%); culture negative n=11 (27.5%)</t>
  </si>
  <si>
    <t>Gram-negative microorganism n=19 (47.5%); Gram-positive microorganism n=3 (7.5%)</t>
  </si>
  <si>
    <t>Plasma transforming growth factor-beta1 level in patients with severe community-acquired pneumonia and association with disease severity</t>
  </si>
  <si>
    <t>https://libkey.io/libraries/2725/openurl?genre=article&amp;sid=OVID:embase&amp;id=pmid:19181604&amp;id=doi:10.1016%2FS0929-6646%252809%252960028-0&amp;issn=0929-6646&amp;isbn=&amp;volume=108&amp;issue=1&amp;spage=20&amp;pages=20-27&amp;date=2009&amp;title=Journal+of+the+Formosan+Medical+Association&amp;atitle=Plasma+transforming+growth+factor-beta1+level+in+patients+with+severe+community-acquired+pneumonia+and+association+with+disease+severity&amp;aulast=Wu&amp;pid=%3Cauthor%3EWu+H.-P.%3BChen+C.-K.%3BChung+K.%3BJiang+B.-Y.%3BYu+T.-J.%3BChuang+D.-Y.%3C%2Fauthor%3E%3CAN%3E354175029%3C%2FAN%3E%3CDT%3EArticle%3C%2FDT%3E</t>
  </si>
  <si>
    <t>Wu H.-P. and Chen C.-K. and Chung K. and Jiang B.-Y. and Yu T.-J. and Chuang D.-Y.</t>
  </si>
  <si>
    <t>Journal of the Formosan Medical Association</t>
  </si>
  <si>
    <t>2003-2005</t>
  </si>
  <si>
    <t>evaluate the prognostic predictive value of TGF-β1 in patients with severe CAP</t>
  </si>
  <si>
    <t>survivor group (n=49): 70.0 ± 2.0; non-survivor group (n=14): 69.1 ± 4.1</t>
  </si>
  <si>
    <t>n=14</t>
  </si>
  <si>
    <t xml:space="preserve">28d mortality </t>
  </si>
  <si>
    <t>Chang Gung Memorial Hospital under Contract #CMRPG240331.</t>
  </si>
  <si>
    <t>patients admitted to ED and soon transferred to ICU for sCAP</t>
  </si>
  <si>
    <t>patients admitted to medical ICU due to sCAP</t>
  </si>
  <si>
    <t>Chronic lung disease, chronic renal disease, diabetes, HF, prev. CVA, HTN</t>
  </si>
  <si>
    <t>Cohort</t>
  </si>
  <si>
    <t>Association of cytokine levels (IFN-γ, IL-6, IL-10, IL-12, TGF-β1) with mortality and disease severity (APACHE II score)</t>
  </si>
  <si>
    <t>n=26 (41.3%)</t>
  </si>
  <si>
    <t xml:space="preserve">Bacterial </t>
  </si>
  <si>
    <t>n=37 (58.7%)</t>
  </si>
  <si>
    <t>Klebsiella pneumoniae (n = 9, 14.3%) and Pseudomonas aeruginosa (n = 8, 12.7%).</t>
  </si>
  <si>
    <t>Association between serum lipid levels (HDL and LDL) and mortality; Change in HDL and LDL cholesterol levels between ICU day 1 and day 7</t>
  </si>
  <si>
    <t>Prediction of mortality risk in patients with severe community-acquired pneumonia in the intensive care unit using machine learning</t>
  </si>
  <si>
    <t>Pan J. and Guo T. and Kong H. and Bu W. and Shao M. and Geng Z.</t>
  </si>
  <si>
    <t>https://www.nature.com/articles/s41598-025-85951-x</t>
  </si>
  <si>
    <t>Scientific reports</t>
  </si>
  <si>
    <t>2019 - 2023 (development cohort 2019-2022; validation cohort 2021-2023)</t>
  </si>
  <si>
    <t>China</t>
  </si>
  <si>
    <t>Multi-centre</t>
  </si>
  <si>
    <t>Retrospective</t>
  </si>
  <si>
    <t>This study aims to train and compare five different machine learning models to predict the risk of mortality in patients with SCAP admitted to the ICU</t>
  </si>
  <si>
    <t>patients admitted to critical care / respiratory ICU due to sCAP</t>
  </si>
  <si>
    <t>n = 575 (development cohort n=455, validation cohort n=120)</t>
  </si>
  <si>
    <t>development vs validation</t>
  </si>
  <si>
    <t xml:space="preserve">ICU mortality </t>
  </si>
  <si>
    <t xml:space="preserve">Single cohort </t>
  </si>
  <si>
    <t>Identification of key predictors of mortality using SHAP analysis</t>
  </si>
  <si>
    <t>Dibetes, HTN, tumours</t>
  </si>
  <si>
    <t>Single cohort (survival vs non-survival)</t>
  </si>
  <si>
    <t xml:space="preserve">Single cohort (survival vs non-survival) </t>
  </si>
  <si>
    <t>Development cohort: 277/455 (60.9%); Validation cohort: 34/120 (28.3%); development non-survival cohort n=88 (90.72%); development survivor cohort n=189 (52.79%)</t>
  </si>
  <si>
    <t>Key Research and Development Program of Anhui Province (No. 2022e07020039); Postgraduate Innovation Research and Practice Program of Anhui Medical University (No. YJS20230127)</t>
  </si>
  <si>
    <t>total n=125/575 (development cohort: 97/455 (21.3%); external validation cohort: 28/120 (23.3%))</t>
  </si>
  <si>
    <t>Benefit of Empiric Antiviral Treatment for Patients with Influenza-Associated Pneumonia Admitted to the Intensive Care Unit: A Retrospective Cohort Study</t>
  </si>
  <si>
    <t>Pai Y.-T. and Huang Y.-K. and Su C.-P. and Huang C.-T.</t>
  </si>
  <si>
    <t>https://www.ajtmh.org/view/journals/tpmd/113/3/article-p576.xml</t>
  </si>
  <si>
    <t>American Journal of Tropical Medicine and Hygiene</t>
  </si>
  <si>
    <t>Unable to access (restricted)</t>
  </si>
  <si>
    <t>https://www.mdpi.com/2079-6382/14/7/642</t>
  </si>
  <si>
    <t>Zilberberg M.D. and Greenberg M. and Curt V. and Shorr A.F.</t>
  </si>
  <si>
    <t>The Burden of Hospitalization and Rehospitalization Among Patients Hospitalized with Severe Community-Acquired Bacterial Pneumonia in the United States, 2018-2022</t>
  </si>
  <si>
    <t>Antibiotics</t>
  </si>
  <si>
    <t>US</t>
  </si>
  <si>
    <t>2017-2022</t>
  </si>
  <si>
    <t>IQVIA Hospital Charge Data Master (USA)</t>
  </si>
  <si>
    <t>observation of sCABP (community acquired bacterial pneumonia), examined baseline characteristics and outcomes, including mortality, costs, and readmission rates. We developed models to identify risk factors associated with readmissions</t>
  </si>
  <si>
    <t>patients with CABP identified via ICD-10 code, with sCABP defined as an episode requiring ICU care</t>
  </si>
  <si>
    <t>ICU LOS, hospital LOS, ICU and hosptial costs, 30-day and 90-day readmissions among survivors, incidence of Clostridioides difficile infection (CDI), risk factors for 30- and 90-day readmissions (multivariable logistic regression)</t>
  </si>
  <si>
    <t>time days(d) mean ± SD: Development cohort d=7.49 ± 10.40; validation cohort d=6.02 ± 5.06; development non-survival cohort d=8.33 ± 11.47; development survival group d=7.26 ± 10.10</t>
  </si>
  <si>
    <t>n=3881 (15.89%)</t>
  </si>
  <si>
    <t xml:space="preserve">All patients </t>
  </si>
  <si>
    <t>Clostridioides difficile n=271 (1.19%)</t>
  </si>
  <si>
    <t>Mean SD (days) n=13.6 (SD 12.1). Median n=10.0 (no IQR)</t>
  </si>
  <si>
    <t>Mean SD (days) n=8.7 (SD 9.6). Median n=6.0 (no IQR)</t>
  </si>
  <si>
    <t>C diff infection, 30-day readmission, 90-day readmission, COPD, CHF, DM in table 4 (full table of co-morbidities outlined in supplementary materials to which Charlson Comorbidity index applied to)</t>
  </si>
  <si>
    <t>Grant from Eagle Pharmaceuticals, Inc., Several authors employed by or consulting for Eagle Pharmaceuticals</t>
  </si>
  <si>
    <t>https://www.sciencedirect.com/science/article/pii/S0953620525002638</t>
  </si>
  <si>
    <t>Garin, Nicolas and Koulenti, Despoina and Prendki, Virginie and Rello, Jordi</t>
  </si>
  <si>
    <t>Sex-related differences in the management and outcome of intubated adults with community-acquired pneumonia in Europe: A multicentre study.</t>
  </si>
  <si>
    <t>European journal of internal medicine</t>
  </si>
  <si>
    <t>2007-2008</t>
  </si>
  <si>
    <t>9 European countries</t>
  </si>
  <si>
    <t>EU-VAP/CAP cohort</t>
  </si>
  <si>
    <t>No specific funding for this analysis of the EU-VAP/CAP cohort, but original cohort supported by Generalitat de Catalunya (SGR 05/920), CIBERES, and Carlos III Health Institute (PI05/2410; AI/07/90031)</t>
  </si>
  <si>
    <t>explore differences between sexes in the prognosis of severe community-acquired pneumonia</t>
  </si>
  <si>
    <t>Mean age was 60.5 years (SD 16.4)</t>
  </si>
  <si>
    <t xml:space="preserve">consecutive patients admitted to the participating ICUs during a period of 6 to 12 months in 2007–2008 were included if they had a diagnosis of pneumonia and received invasive mechanical ventilation for at least 48 h. Patients were followed until discharge from the ICU or death, which ever came first. From the initial cohort (EU-VAP/CAP), we selected patients with CAP, without further exclusion criteria, who form the study population. </t>
  </si>
  <si>
    <t xml:space="preserve">single cohort </t>
  </si>
  <si>
    <t>Days of mechanical ventilation (survivors); ICU LOS (survivors); pathogen identification; differences in management; association between sex and mortality after multivariable adjustment</t>
  </si>
  <si>
    <t>n=101 / 257 (39.3%) (Men: 62 / 176 (35%); Women: 39 / 81 (48%))</t>
  </si>
  <si>
    <t>Days in the ICU (Survivors): median 13 days (IQR 8–23 in men; 8–22 in women)</t>
  </si>
  <si>
    <t>125 / 257 (50.6%)</t>
  </si>
  <si>
    <t>257 / 257 (100%) (implied by invasive mechanical ventilation)</t>
  </si>
  <si>
    <t xml:space="preserve">Unclear, seems majority bacterial </t>
  </si>
  <si>
    <t xml:space="preserve">N=121 </t>
  </si>
  <si>
    <t>S.pneumoniae n=37; high risk bacteria for multidrug resistance n=33; H.influenzae or M.catarrhalis n=17; L.pneumophila n=3</t>
  </si>
  <si>
    <t>Advancing ICU mortality prediction in community-acquired pneumonia: Combining fibrinogen-to-albumin ratio, CT severity score, PSI, and CURB-65.</t>
  </si>
  <si>
    <t>Unal Cetin, Ece and Kurtkulagi, Ozge and Kamis, Fatih and Das, Murat and Simsek, Esen and Cetin, Adil Ugur and Beyazit, Yavuz</t>
  </si>
  <si>
    <t>https://www.bjbms.org/ojs/index.php/bjbms/article/view/12127/3793</t>
  </si>
  <si>
    <t>Biomolecules &amp; biomedicine</t>
  </si>
  <si>
    <t>2021-2023</t>
  </si>
  <si>
    <t>Turkey</t>
  </si>
  <si>
    <t xml:space="preserve">30d mortality </t>
  </si>
  <si>
    <t>n=112/158 (70.9%)</t>
  </si>
  <si>
    <t xml:space="preserve">Unclear </t>
  </si>
  <si>
    <t>N/a</t>
  </si>
  <si>
    <t xml:space="preserve">None </t>
  </si>
  <si>
    <t xml:space="preserve">CAP ICU patients </t>
  </si>
  <si>
    <t>determine whether adding FAR (fibrinogen to albumin ratio) to PSI, CURB-65, and CT-SS enhances their predictive performance for mortality in ICU patients with CAP</t>
  </si>
  <si>
    <t>Medicine</t>
  </si>
  <si>
    <t>immunocompromised group vs immunocompetent group</t>
  </si>
  <si>
    <t>https://link.springer.com/article/10.1007/s00134-025-07861-w</t>
  </si>
  <si>
    <t>Angus, Derek C. and Heming, Nicholas and Berry, Lindsay and Lorenzi, Elizabeth and Hills, Thomas E. and Higgins, Alisa M. and Arabi, Yaseen and Aryal, Diptesh and Beane, Abigail and Best-Lane, Janis and Bonten, Marc and Bradbury, Charlotte and Brunkhorst, Frank and Burrell, Aidan and Buxton, Meredith and Cecconi, Maurizio and Chalmers, James D. and Cheng, Allen C. and Cooke, Graham and Cove, Matthew E. and Dark, Paul and Derde, Lennie and Detry, Michelle A. and Estcourt, Lise J. and Fitzgerald, Mark and Gordon, Anthony C. and Green, Cameron and Haniffa, Rashan and Hashmi, Madiha and Hays, Leanne and Horvat, Christopher and Huang, David T. and Ichihara, Nao and Jayakumar, Devachandran and Kruger, Peter S. and Lamontagne, Francois and Lawler, Patrick R. and Lewis, Roger J. and Litton, Edward and Marshall, John C. and McArthur, Colin J. and McAuley, Daniel F. and McGlothlin, Anna and McGuinness, Shay and McQuilten, Zoe and McVerry, Bryan J. and Morpeth, Susan C. and Mouncey, Paul R. and Nichol, Alistair D. and Parke, Rachael L. and Parker, Jane C. and Peters, Svenja and Ramnarayan, Padmanabhan and Reyes, Luis Felipe and Rowan, Kathryn M. and Saito, Hiroki and Santos, Marlene S. and Saunders, Christina T. and Seymour, Christopher and Shankar-Hari, Manu and Singh, Vanessa and Tambyah, Paul A. and Turgeon, Alexis F. and Turner, Anne M. and Ustianowski, Andrew and van de Veerdonk, Frank L. and Waite, Alicia A. C. and Whittaker, Elizabeth and Zarychanski, Ryan and Murthy, Srinivas and Webb, Steven A. and Berry, Scott and Venkatesh, Balasubramanian and Annane, Djillali and Angus, Derek C. and REMAP-CAP Investigators</t>
  </si>
  <si>
    <t>Effect of hydrocortisone on mortality in patients with severe community-acquired pneumonia The REMAP-CAP Corticosteroid Domain Randomized Clinical Trial</t>
  </si>
  <si>
    <t>INTENSIVE CARE MEDICINE</t>
  </si>
  <si>
    <t>2018-2023</t>
  </si>
  <si>
    <t>international</t>
  </si>
  <si>
    <t>Yes</t>
  </si>
  <si>
    <t>Unblinded (open label)</t>
  </si>
  <si>
    <t>Hydrocortisone (7-day course of intravenous hydrocortisone (50 mg every 6 h))</t>
  </si>
  <si>
    <t>No corticosteroid</t>
  </si>
  <si>
    <t>Adults&gt;=18y</t>
  </si>
  <si>
    <t>Adult patients ≥ 18 years, who presented with CAP and were admitted within 48 h of hospital presentation to an intensive care unit (ICU) for respiratory or cardiovascular organ support, were eligible for enrollment in the platform.</t>
  </si>
  <si>
    <t>90day mortality</t>
  </si>
  <si>
    <t>ICU mortality, ICU length of stay, Hospital length of stay, Ventilator-free days (28 days), Organ-support–free days (28 days), Progression to intubation, ECMO, or death, Tracheostomy among intubated patients, ICU readmission, Serious adverse events</t>
  </si>
  <si>
    <t>dibetes, respiratory disease, kidney disease, severe cardiovascular disease, any immunosuppressive condition</t>
  </si>
  <si>
    <t>n=57/658</t>
  </si>
  <si>
    <t>n=265</t>
  </si>
  <si>
    <t>n=69</t>
  </si>
  <si>
    <t>Streptococcus pneumoniae n=134; atypical bacterial pathogen n=62; SARS-CoV-2 n=10; influenza n=47</t>
  </si>
  <si>
    <t>n=90/643</t>
  </si>
  <si>
    <t>hydrocortisone group LOS (days) medican (10th to 90th percentile) 5 (1-42), median adjusted hazard ratio (95% credibility interval) 1.05 (0.84-1.31), mean adjusted hazard ratio (SD) 1.06 (0.21); control group LOS (days) medican (10th to 90th percentile) 5.5 (2-34), median adjusted hazard ratio (95% credibility interval) 1 (reference), mean adjusted hazard ratio (SD) 1 (reference)</t>
  </si>
  <si>
    <t>hydrocortisone group LOS (days) median (10th to 90th percentile) 12 (4 to -), median adjusted hazard ratio (95% credibility interval) 1.07 (0.85-1.34), mean adjusted hazard ratio (SD) 1.07 (0.13); control group LOS (days) median (10th to 90th percentile) 14 (4-55), median adjusted hazard ratio (95% credibility interval) 1 (reference), mean adjusted hazard ratio (SD) 1 (reference)</t>
  </si>
  <si>
    <t>n=259/658</t>
  </si>
  <si>
    <t>n=97/658</t>
  </si>
  <si>
    <t>Reported as Strata for shock (influenza vs no influenza) n=321/658 NB: not specified as septic shock, just as shock</t>
  </si>
  <si>
    <t>Multiple international public and academic funders including EU FP7, EU H2020, NHMRC (Australia), CIHR (Canada), NIHR (UK), among others.</t>
  </si>
  <si>
    <t>Mixed, bacterial, viral and fungal</t>
  </si>
  <si>
    <t>Comments</t>
  </si>
  <si>
    <t xml:space="preserve">Note SARS-CoV-2 n=10 </t>
  </si>
  <si>
    <t>https://mail.journal-imab-bg.org/issues-2024/Supplement/2024v30Supplement1Medicine.pdf</t>
  </si>
  <si>
    <t>Spasovska K. and Grozdanovski K. and Rangelov G. and Cvetanovska M. and Cana F. and Kuzmanovski N. and Kapsarov K.</t>
  </si>
  <si>
    <t>COMPARISON OF THREE SEVERITY SCORING MODELS FOR MORTALITY PREDICTION OF COMMUNITY-ACQUIRED PNEUMONIA</t>
  </si>
  <si>
    <t>Journal of IMAB - Annual Proceeding (Scientific Papers)</t>
  </si>
  <si>
    <t>2017-2019</t>
  </si>
  <si>
    <t>North Macedonia</t>
  </si>
  <si>
    <t>aim of this study was to compare three commonly used severity scoring models in patients with community-acquired pneumonia, in order to define the best tool that will early identify those with increased risk for lethal outcome.</t>
  </si>
  <si>
    <t>aged ≥18 years with CAP consecutively admitted at the ICU of University Clinic for Infectious Diseases in Skopje, North Macedonia</t>
  </si>
  <si>
    <t>Single cohort (survivors vs non-survivors)</t>
  </si>
  <si>
    <t>30day mortality</t>
  </si>
  <si>
    <t>performance of severity scores (FAR, PSI, CURB-65, CT-SS)</t>
  </si>
  <si>
    <t>n=56/129 (43.4%)</t>
  </si>
  <si>
    <t xml:space="preserve">Not reported </t>
  </si>
  <si>
    <t>https://link.springer.com/article/10.1186/s13613-024-01269-3</t>
  </si>
  <si>
    <t>Grosjean V. and Gressens S.B. and Pham T. and Gaudry S. and Ait-Oufella H. and De Prost N. and Mayaux J. and Guerot E. and Leflon-Guibout V. and Mayer N. and Bert F. and Gault N. and Massonnaud C.R. and Roux D.</t>
  </si>
  <si>
    <t>Community-acquired Klebsiella pneumoniae pneumonia in ICU: a multicenter retrospective study</t>
  </si>
  <si>
    <t>Annals of Intensive Care</t>
  </si>
  <si>
    <t>France</t>
  </si>
  <si>
    <t>2015-2019</t>
  </si>
  <si>
    <t>Case-Control</t>
  </si>
  <si>
    <t xml:space="preserve">KP-CAP (klebsiella pneumoniae) vs SP-CAP (streptococcus pneumoniae) </t>
  </si>
  <si>
    <t>In-hospital mortality</t>
  </si>
  <si>
    <t>Severity on ICU admission (SAPS II, SOFA); Organ failure (multiple organ failure, septic shock, ARDS, AKI); Mechanical ventilation use; Predisposing factors (alcoholism, comorbidities); Microbiological characteristics and virulence factors</t>
  </si>
  <si>
    <t>n=30/108</t>
  </si>
  <si>
    <t>n=57/108</t>
  </si>
  <si>
    <t>Noradrenaline use n= 49/107</t>
  </si>
  <si>
    <t>n=44/57</t>
  </si>
  <si>
    <t xml:space="preserve">None reported </t>
  </si>
  <si>
    <t xml:space="preserve">Comparison of mortality from KP-CAP compared with SP-CAP of adult ICU admissions </t>
  </si>
  <si>
    <t>Programme de Medicalisation des Systèmes d’information (PMSI) database</t>
  </si>
  <si>
    <t>Bacterial, viral co-infections</t>
  </si>
  <si>
    <t>viral coinfections n= 19/108</t>
  </si>
  <si>
    <t>k. pneumoniae n=27/108 &amp; s.pneumoniae n=81/108</t>
  </si>
  <si>
    <t>108/108</t>
  </si>
  <si>
    <t>https://journals.sagepub.com/doi/epub/10.1177/08850666241248568</t>
  </si>
  <si>
    <t>Kasotakis, George and Pant, Praruj and Patel, Akash D and Ahmed, Yousef and Raghunathan, Karthik and Krishnamoorthy, Vijay and Ohnuma, Tetsu</t>
  </si>
  <si>
    <t>Hospital Outcomes in Patients Who Developed Acute Respiratory Distress Syndrome After Community-Acquired Pneumonia.</t>
  </si>
  <si>
    <t>Journal of intensive care medicine</t>
  </si>
  <si>
    <t>2016-2020</t>
  </si>
  <si>
    <t>Premier Healthcare Database (United States)</t>
  </si>
  <si>
    <t>In this study of patients hospitalized with CAP, we investigated patients who did and did not develop ARDS during hospital admission to identify predictors of ARDS and assess the impact of ARDS on hospital outcomes in patients with CAP.</t>
  </si>
  <si>
    <t>We included adult patients who had a principal diagnosis of pneumonia (International Classification of Disease, Tenth Revision, Clinical Modification [ICD-10-CM] codes J13, J14, J15.x, J16.x, J17.x, J18.x, and J69.0) or a secondary diagnosis of pneumonia paired with a principal diagnosis of respiratory failure or sepsis. We selected for patients who were mechanically ventilated to compare patients with CAP with similar severity of initial illness, whether or not they ultimately developed ARDS</t>
  </si>
  <si>
    <t>ARDS vs no ARDS</t>
  </si>
  <si>
    <t>in-hospital mortality</t>
  </si>
  <si>
    <t>hospital and ICU length of stay (LOS), mechanical ventilation days, days in the ICU, and total cost</t>
  </si>
  <si>
    <t>Klebsiella pneumoniae CAP &amp; streptococcus pneumoniae CAP mortality data. diabetes, smoking, alcoholism, COPD, chronic respiratory failures, chronic cardiac failure, cirrhosis, cancer, immunosuppression</t>
  </si>
  <si>
    <t xml:space="preserve">gender specific mortality data. immunosuppression; COPD; diabetes; CHF; chronic renal failure; chronic respiraotry failure; cirrhosis; heavy alcohol use; IV drug use; non-metastatic cancer; metastatic cancer; haematologic cancer </t>
  </si>
  <si>
    <t>ARDS vs no ARDS mortality data. Comorbidities with data: HTN, CHF, valvular disease, PVD, paralysis, other neurological disorders, chronic pulmonary disease, diabetes, hypothyroidism, renal failure, liver disease, peptic ulcer disease, acquired immune deficiency syndrome, arthritis, coagulopathy, obesity, weight loss, fluid and electrolyte disorders, chronic blood loss anaemia, deficiency anaemia, alcohol use, drug use, psuchoses and cancer.</t>
  </si>
  <si>
    <t>n=13901/72107</t>
  </si>
  <si>
    <t>Median (IQR) in days: no ARDS = 9 (6, 15); ARDS = 13 (7, 20)</t>
  </si>
  <si>
    <t>Median (IQR) in days: no ARDS = 5 (3, 9); ARDS = 9 (5, 15)</t>
  </si>
  <si>
    <t>n=72107/72107 (inclusion criterion: all patients required MV)</t>
  </si>
  <si>
    <t>n= 188/72107</t>
  </si>
  <si>
    <t>n=5648/72107</t>
  </si>
  <si>
    <t>n=29106/72107</t>
  </si>
  <si>
    <t>Implicit (n=72107, all patients mechanically ventilated0, explicitly not reported</t>
  </si>
  <si>
    <t>n=1924/72107</t>
  </si>
  <si>
    <t xml:space="preserve">not recorded </t>
  </si>
  <si>
    <t>https://www.mdpi.com/1648-9144/60/10/1560</t>
  </si>
  <si>
    <t>Doganci M. and Eraslan Doganay G. and Sazak H. and Alagoz A. and Cirik M.O. and Hosgun D. and Cakiroglu E.B. and Yildiz M. and Ari M. and Ozdemir T. and Kizilgoz D.</t>
  </si>
  <si>
    <t>The Utility of C-Reactive Protein, Procalcitonin, and Leukocyte Values in Predicting the Prognosis of Patients with Pneumosepsis and Septic Shock</t>
  </si>
  <si>
    <t>Medicina (Kaunas, Lithuania)</t>
  </si>
  <si>
    <t>2022-2023</t>
  </si>
  <si>
    <t>This study aims to assess the impact of changes in CRP, PCT, and leukocyte counts on the prognosis of patients admitted to the ICU with a diagnosis of pneumosepsis and pneumonia-related septic shock and to explore whether any of these markers have a superior predictive value in forecasting prognosis.</t>
  </si>
  <si>
    <t xml:space="preserve">According to the Turkish Thoracic Society’s Consensus Report on the Diagnosis and Treatment of Community-Acquired Pneumonia in Adults [10], patients diagnosed with community-acquired pneumonia who developed sepsis and septic shock related to pneumonia and were admitted to the ICU were included in this study. </t>
  </si>
  <si>
    <t xml:space="preserve">1 month &amp; 3 month (90 day) mortality </t>
  </si>
  <si>
    <t>ICU length of stay; Discharge status; Need for invasive or non-invasive mechanical ventilation; Need for renal replacement therapy; Need for inotropic (vasopressor) support; Association of CRP, procalcitonin, and leukocyte kinetics with mortality</t>
  </si>
  <si>
    <t xml:space="preserve">?n= 92/230 (reported as 1 month mortality, not explicity as 28 day mortality … could be 30 day mortality) </t>
  </si>
  <si>
    <t>?See 28d mortality column &lt;--</t>
  </si>
  <si>
    <t>n=118/230</t>
  </si>
  <si>
    <t>Group-level medians by mortality status reported, overall cohort LOS not explicitly stated. Days median (IQR), 1-month survival group 5 (13); 1-month non-survival group 4.5 (9); 90-day survival group 4 (9); 90-day non-survival group 5.5 (13.0)</t>
  </si>
  <si>
    <t>Any MV n=142/230; invasive MV n= 128/230</t>
  </si>
  <si>
    <t>n=14/230</t>
  </si>
  <si>
    <t>n=84/230</t>
  </si>
  <si>
    <t>n=36/230</t>
  </si>
  <si>
    <t>n=146/230</t>
  </si>
  <si>
    <t>https://www.nature.com/articles/s41598-024-67625-2</t>
  </si>
  <si>
    <t>Choi, Yoon-Hee and Kim, Dong Hyun and Jeon, Eun-Tae and Lee, Hyo Jin and Park, Tae Yun and Yoon, Soon Ho and Jin, Kwang Nam and Lee, Hyun Woo</t>
  </si>
  <si>
    <t>Cluster analysis of thoracic muscle mass using artificial intelligence in severe pneumonia</t>
  </si>
  <si>
    <t>SCIENTIFIC REPORTS</t>
  </si>
  <si>
    <t>2016-2021</t>
  </si>
  <si>
    <t>Republic of Korea</t>
  </si>
  <si>
    <t>Korea Health Technology R&amp;D Project (KHIDI, HI21C1074); National Research Foundation of Korea (NRF-2020R1C1C1007280); Soonchunhyang University Research Fund</t>
  </si>
  <si>
    <t>≥18 years</t>
  </si>
  <si>
    <r>
      <t>257 / 257 (100%) </t>
    </r>
    <r>
      <rPr>
        <i/>
        <sz val="12"/>
        <color rgb="FF000000"/>
        <rFont val="Aptos Narrow"/>
        <scheme val="minor"/>
      </rPr>
      <t>(all patients invasively mechanically ventilated ≥48 h)</t>
    </r>
  </si>
  <si>
    <t>Severe community-acquired pneumonia (IDSA/ATS criteria); ICU admission with respiratory failure; Chest CT performed at ICU admission</t>
  </si>
  <si>
    <t>Extubation success (within a 30-day observation period)</t>
  </si>
  <si>
    <t>In-hospital mortality (within 30 days)</t>
  </si>
  <si>
    <t>NB: in-hospital mortality is reported over a 30d observation period, so may be more appropraite to report as 30d mortality??</t>
  </si>
  <si>
    <t xml:space="preserve">n=337/778 (over 30d observation period) </t>
  </si>
  <si>
    <t>n=607/778 (unclear whether invasive or non-invasive)</t>
  </si>
  <si>
    <t>n=11/778</t>
  </si>
  <si>
    <t>n=670/778</t>
  </si>
  <si>
    <t>this study aimed to investigate the potential of thoracic muscle mass as determined by chest CT scans to serve as a biomarker for predicting clinical outcomes of ICU patients with severe community-acquired pneumonia</t>
  </si>
  <si>
    <t>Implied 100% from inclusion criteria " Inclusion criteria were: patients aged ≥ 18 years presenting with respiratory failure attributable to severe pneumonia necessitating ICU admission."</t>
  </si>
  <si>
    <t>none with mortality data. Comorbidities include COPD, asthma, ILD, NTM, TB-destryoed lung, lung cancer, HTN, DM, CKD, CLD, CVD, CHF, CVA, dementia, HIV, rheumatic disease, metastatic cancer, hematologic malignancy</t>
  </si>
  <si>
    <t>Cilloniz C. and Ferrer M. and Pericas J.M. and Serrano L. and Mendez R. and Gabarrus A. and Peroni H.J. and Ruiz L.A. and Menendez R. and Zalacain R. and Torres A.</t>
  </si>
  <si>
    <t>https://www.archbronconeumol.org/en-linkresolver-validation-idsa-ats-guidelines-for-icu-S0300289622005300</t>
  </si>
  <si>
    <t>Validation of IDSA/ATS Guidelines for ICU Admission in Adults Over 80 Years Old With Community-Acquired Pneumonia</t>
  </si>
  <si>
    <t>Archivos de Bronconeumologia</t>
  </si>
  <si>
    <t>1996-2019</t>
  </si>
  <si>
    <t>Adults ≥80 years hospitalised with CAP</t>
  </si>
  <si>
    <t>Spain</t>
  </si>
  <si>
    <t>ICU admission</t>
  </si>
  <si>
    <t>30D mortality</t>
  </si>
  <si>
    <t>n=53/204</t>
  </si>
  <si>
    <t>total n=2006 (including ward patients). sCAP n=204</t>
  </si>
  <si>
    <t>days median (Q1 ; Q3) 12 (8 ; 18)</t>
  </si>
  <si>
    <t>invasive MV n=70/204</t>
  </si>
  <si>
    <t>n=57/204</t>
  </si>
  <si>
    <t>n=35/204</t>
  </si>
  <si>
    <t>bacteraemia n=27/204</t>
  </si>
  <si>
    <t xml:space="preserve">n=57/204 "Septic shock was defined as a systolic blood pressure of &lt;90 mmHg and peripheral hypoperfusion with the need for vasopressors for &gt;4 h after fluid resuscitation. </t>
  </si>
  <si>
    <t>CIBER de Enfermedades Respiratorias (CIBERES CB06/06/0028); Support to Research Groups of Catalonia (IDIBAPS 911); Instituto de Salud Carlos III (PI19/00207, co-funded by EU)</t>
  </si>
  <si>
    <t>We hypothesized that IDSA/ATS severity criteria are not appropriate to guide decisions regarding ICU admission in very elderly population with CAP. The aim of the study was therefore to validate the predictive ability of the 2007 IDSA/ATS criteria for severe CAP in identifying individuals in the very elderly population admitted to the ICU.</t>
  </si>
  <si>
    <t xml:space="preserve">Patients admitted to ward vs patients admitted to ICU mortality data. </t>
  </si>
  <si>
    <t>Age &gt;80 mortality data. Comorbidities: chronic respiraotry disease, chronic cardiovascular disease; diabetes, neurological disease, chronic renal disease, chronic liver disease</t>
  </si>
  <si>
    <t>https://link.springer.com/article/10.1186/s13613-023-01211-z</t>
  </si>
  <si>
    <t>Jaubert P. and Charpentier J. and Benghanem S. and Cariou A. and Pene F. and Mira J.-P. and Jozwiak M.</t>
  </si>
  <si>
    <t>Meningitis in critically ill patients admitted to intensive care unit for severe community-acquired pneumococcal pneumonia</t>
  </si>
  <si>
    <t>2006-2020</t>
  </si>
  <si>
    <t>Proportion of patients with meningitis during ICU stay</t>
  </si>
  <si>
    <t>42 / 262</t>
  </si>
  <si>
    <t>52/262</t>
  </si>
  <si>
    <t>155 / 262</t>
  </si>
  <si>
    <t>43 / 262 </t>
  </si>
  <si>
    <t>78 / 262</t>
  </si>
  <si>
    <t>78 / 262 </t>
  </si>
  <si>
    <t>The aim of this study was to determine the characteristics and outcomes of patients with pneumococcal community-acquired pneumonia who developed meningitis.</t>
  </si>
  <si>
    <t>We included all consecutive patients over 18 years old admitted to our 24-bed ICU for severe pneumococcal community-acquired pneumonia according to American Thoracic Society criteria from January 2006 to December 2020. Exclusion criteria were patients admitted to ICU for pneumococcal infection other than pneumonia and patients under legal protection.</t>
  </si>
  <si>
    <t>ICU mortality; 30-day mortality; 90-day mortality; Duration of invasive mechanical ventilation; ICU length of stay; Neurological disorders at ICU discharge; Functional outcome (Glasgow Outcome Scale); characteristics of patients with lumbar puncture; the risk factors for meningitis</t>
  </si>
  <si>
    <t>12 / 88 (14%) among patients undergoing lumbar puncture</t>
  </si>
  <si>
    <t>Overall: 14 / 88 (16%) among patients undergoing lumbar puncture</t>
  </si>
  <si>
    <t xml:space="preserve">155 / 262 </t>
  </si>
  <si>
    <t>Pneumococcal sCAP, pneumococcal meningitis. Co-morbidities smokers, alcohol abuse, obesity, diabetes mellitus, asplenia, HIV, immunosuppressive treatments</t>
  </si>
  <si>
    <t>S.pneumoniae 262/262</t>
  </si>
  <si>
    <t>meningitis vs non-meningitis groups; LP vs no LP groups</t>
  </si>
  <si>
    <t>Median days (IQR): no LP group = 4 (2-8); LP group 10 (6-23); no meningitis group 10 (6-24); meningitis group 8 (3-17)</t>
  </si>
  <si>
    <t>262/262</t>
  </si>
  <si>
    <t xml:space="preserve">None declared </t>
  </si>
  <si>
    <t>VAP 40/262</t>
  </si>
  <si>
    <t>https://pmc.ncbi.nlm.nih.gov/articles/PMC9975557/pdf/fpubh-11-1070581.pdf</t>
  </si>
  <si>
    <t>Wu, Xiaojing and Sun, Ting and Cai, Ying and Zhai, Tianshu and Liu, Yijie and Gu, Sichao and Zhou, Yun and Zhan, Qingyuan</t>
  </si>
  <si>
    <t>Clinical characteristics and outcomes of immunocompromised patients with        severe community-acquired pneumonia: A single-center retrospective        cohort study</t>
  </si>
  <si>
    <t>FRONTIERS IN PUBLIC HEALTH</t>
  </si>
  <si>
    <t>Adults ≥18 years, ICU admission with severe community-acquired pneumonia</t>
  </si>
  <si>
    <t>Mortality within 7 days, ICU length of stay, duration of invasive mechanical ventilation, requirement for invasive mechanical ventilation, identification of pathogens, identification of risk factors for ICU mortality (overall and immunocompromised subgroup)</t>
  </si>
  <si>
    <t>162/393</t>
  </si>
  <si>
    <t>National Natural Science Foundation of China (81870072); Chinese Academy of Medical Sciences Innovation Fund for Medical Sciences; National High-Level Hospital Clinical Research Funding</t>
  </si>
  <si>
    <t>Pathogen detected: 288/393. Polymicrobial infection 108/288. Bacteria, viruses, fungi and atypical pathogens (33/288) detected. More than one type of bactera 20/288; mixed bacteria-viruses infection 13/288; mixed bacteria-fungi infection 9/288; mixed viruses-fungi infection 57/288; mixed bacteria-viruses-fungi infection 8/288</t>
  </si>
  <si>
    <t>84/288</t>
  </si>
  <si>
    <t>175/288 (influenza virus 112/288; no-influenza virus 72/288; CMV 53/288)</t>
  </si>
  <si>
    <t>Fungi 114/288 (aspergillus spp. 67/288; pneumocystis jirovecii 55/288). "The five most frequent pathogens identified in immunocompromised patients were PJ (55/99, 56%), CMV (47/99, 47%), Aspergillus (23/99, 23%), Staphylococcus aureus (9/99, 9%), and influenza A virus (9/99, 9%). Influenza A virus was the most common pathogen (82/189, 43%) in immunocompetent patients. PJ, nontuberculous mycobacteria (2/99, 2%), and Nocardia spp. (2/99, 2%) were detected only in immunocompromised patients. Adenovirus (10/189) and Streptococcus pneumoniae (9/189) were detected only in immunocompetent patients"</t>
  </si>
  <si>
    <t xml:space="preserve">218/393 (invasive) </t>
  </si>
  <si>
    <t>Mortality data on immunocompromised vs immunocompetent groups. Comorbidities cardiovascular disase, diabetes mellitus, chronic kidney disease, chronic lung disease</t>
  </si>
  <si>
    <t>This study aimed to compare the characteristics and outcomes of immunocompromised and immunocompetent patients with SCAP and investigated the risk factors for mortality in immunocompromised patients.</t>
  </si>
  <si>
    <t>Association of admission lactate with mortality in adult patients with severe community-acquired pneumonia</t>
  </si>
  <si>
    <t>https://www.sciencedirect.com/science/article/pii/S0735675722007793</t>
  </si>
  <si>
    <t>Huang, Dong and He, Dingxiu and Yao, Rong and Wang, Wen and He, Qiao and Wu, Zhenru and Shi, Yujun and Liang, Zongan</t>
  </si>
  <si>
    <t>AMERICAN JOURNAL OF EMERGENCY MEDICINE</t>
  </si>
  <si>
    <t>2011-2018</t>
  </si>
  <si>
    <t>Early SCAP management is primarily based on severity assessment. As a convenient, widely available and low-cost diagnostic biomarker, more comprehensive and detailed investigation and understanding the association of lactate with mortality of SCAP might be helpful for the stratification and identification of high-risk SCAP patients. Thus, the aim of the present study was to investigate the association of admission lactate with mortality of SCAP in a larger cohort and after adjusting for more confounders.</t>
  </si>
  <si>
    <t>adult SCAP patients with documented complete baseline clinical data admitted to ICU between December 2011 and December 2018 were recruited.</t>
  </si>
  <si>
    <t>925/2275</t>
  </si>
  <si>
    <t>Comorbidites: chronic hepatic diseases, chronic renal diseases, chronic cardiovascular diseases, chronic pulmonary diseases, cancer, chronic haematoloical diseases, diabetes, HTN, chronic cerebrovascular diseases</t>
  </si>
  <si>
    <t>792/2275</t>
  </si>
  <si>
    <t>1417/2275</t>
  </si>
  <si>
    <t>single cohort (subdivided into 4 groups with varying lactate levels)</t>
  </si>
  <si>
    <t>National Natural Science Foundation of China (82072156), the Science and Technology Department of Sichuan Province (2019YFS0443, 2018JY0389, 2022NSFSC1313), key program of Sichuan Provincial Health Commission (18ZD002), and the Fundamental Research Funds for the Central Universities (2022SCU12055).</t>
  </si>
  <si>
    <t>Clinical features and outcome of influenza pneumonia in critically-ill immunocompromised patients.</t>
  </si>
  <si>
    <t>https://journals.lww.com/md-journal/fulltext/2022/12090/clinical_features_and_outcome_of_influenza.132.aspx</t>
  </si>
  <si>
    <t>Raymond, Matthieu and Martin, Maelle and Lamouche-Wilquin, Pauline and Blonz, Gauthier and Decamps, Paul and Agbakou, Maite and Desmedt, Luc and Reignier, Jean and Lascarrou, Jean-Baptiste and Canet, Emmanuel</t>
  </si>
  <si>
    <t>Review for exclusion - not clear that this is community acquired pneumonia - there are no inclusion / exclusion criteria to ensure the patients acquired their influenza in the community (may have been admitted from a ward where they were being treated for a pre-existing issue)</t>
  </si>
  <si>
    <t>ICU management characteristics; Respiratory support modalities; Incidence of: Co-infections, ICU-acquired infections, Ventilator-associated pneumonia, ARDS (including severe ARDS); ICU mortality; Hospital mortality</t>
  </si>
  <si>
    <t>Days (mean ± SD): Overall: 9.2 ± 11 days</t>
  </si>
  <si>
    <t>immunocompromised patients (with types of immunosuppression including drugs/steroids, solid tumor, haematological malignancy, solid organ transplant, primary immune deficiency) vs non-immunocompromised patinets (mortality data). Comorbidities cardiovasular disease, chronic respiraotry disease, diabetes, obesity, CKD.</t>
  </si>
  <si>
    <t>13/137</t>
  </si>
  <si>
    <t>invasive MV = 58/137</t>
  </si>
  <si>
    <t>4/137</t>
  </si>
  <si>
    <t>11/137</t>
  </si>
  <si>
    <t>63/137</t>
  </si>
  <si>
    <t>51/137</t>
  </si>
  <si>
    <t>19/137</t>
  </si>
  <si>
    <t>24/137</t>
  </si>
  <si>
    <t>23/137</t>
  </si>
  <si>
    <t>Two (1.5%) fungal infections and 1 (0.7%) parasitic infection
were diagnosed. One invasive pulmonary aspergillosis occurred
in a non-immunocompromised subject treated with extracor-
poreal membrane oxygenation. One Pneumocystis pneumonia
was reported in a liver transplant recipient, and 1 leishmaniasis
associated with hemophagocytic syndrome was diagnosed in a
subject with chronic myelomonocytic leukemia.</t>
  </si>
  <si>
    <t>137/137 (influenza A 113/137; influenza B 23/137; influenza A+B 1/137</t>
  </si>
  <si>
    <t>?129/137 (data fr number of patient requiring antibiotic treatment)</t>
  </si>
  <si>
    <t>Viral and mixed (viral + fungal, viral +bacterial)</t>
  </si>
  <si>
    <t>Flu A, B</t>
  </si>
  <si>
    <t xml:space="preserve">we conducted an epidemiological study to compare the ICU management and outcomes of seasonal influenza between immunocompromised and non-immunocompromised subjects admitted to the ICU of French University-affiliated hospital. We hypothesized that immunocompromised subjects would experience a higher rate of ventilatory support, coinfections, ICU-acquired and fungal infections than non-immunocompromised subjects. </t>
  </si>
  <si>
    <t>Median 9 days (IQR 6–16)</t>
  </si>
  <si>
    <t>Adults admitted to ICU with PCR-confirmed influenza pneumonia</t>
  </si>
  <si>
    <t>https://pmc.ncbi.nlm.nih.gov/articles/PMC9482754/pdf/12931_2022_Article_2181.pdf</t>
  </si>
  <si>
    <t>Huang, Dong and He, Dingxiu and Gong, Linjing and Yao, Rong and Wang, Wen and Yang, Lei and Zhang, Zhongwei and He, Qiao and Wu, Zhenru and Shi, Yujun and Liang, Zongan</t>
  </si>
  <si>
    <t>A prediction model for hospital mortality in patients with severe community-acquired pneumonia and chronic obstructive pulmonary disease</t>
  </si>
  <si>
    <t>RESPIRATORY RESEARCH</t>
  </si>
  <si>
    <t>hospital mortality</t>
  </si>
  <si>
    <t>319/873</t>
  </si>
  <si>
    <t>361/873</t>
  </si>
  <si>
    <t xml:space="preserve">icu mortality </t>
  </si>
  <si>
    <t>training cohort vs testing cohort "We divided the patients into training and testing cohorts (70% versus 30%) randomly. In the training cohort, univariate and multivariate logistic regression analysis were used to identify independent risk factors applied to develop a nomogram. The prediction model was assessed in both training and testing cohorts."</t>
  </si>
  <si>
    <t>COPD mortality data (better shown in supplementary data). Comorbidities cancer history, chronic haematological diseases, diabetes, chronic hepatic diseases, chronic renal diseases, chronic cardiovascualr diseases, HTN, chronic cerebrovascular diseases</t>
  </si>
  <si>
    <t>days median (IQR) 13 (7, 24)</t>
  </si>
  <si>
    <t>days median (IQR) 21 (12, 33)</t>
  </si>
  <si>
    <t>Years old medican (IQR 77 (69, 83)</t>
  </si>
  <si>
    <t>National Natural Science Foundation of China (Grant No. 82072156), the Science and Technology Department of Sichuan Province (Grant Nos. 2019YFS0443, 2018JY0389), the National Key Research and Development Program of China (Grant No. 2016YFC1304303), key program of Sichuan Provincial Health Commission (Grant No. 18ZD002), and the Fundamental Research Funds for the Central Universities (Grant No. 2022SCU12055).</t>
  </si>
  <si>
    <t>https://link.springer.com/article/10.1186/s13613-021-00936-z</t>
  </si>
  <si>
    <t>Bellut H. and Porcher R. and Varon E. and Asfar P. and Le Tulzo Y. and Megarbane B. and Mathonnet A. and Dugard A. and Veinstein A. and Ouchenir K. and Siami S. and Reignier J. and Galbois A. and Cousson J. and Preau S. and Baldesi O. and Rigaud J.-P. and Souweine B. and Misset B. and Jacobs F. and Dewavrin F. and Mira J.-P. and Bedos J.-P.</t>
  </si>
  <si>
    <t>Comparison of prognostic factors between bacteraemic and non-bacteraemic critically ill immunocompetent patients in community-acquired severe pneumococcal pneumonia: a STREPTOGENE sub-study</t>
  </si>
  <si>
    <t>2008-2021</t>
  </si>
  <si>
    <t>Post-hoc anaylysis of STREPTOGENE cohort</t>
  </si>
  <si>
    <t>The main objective of this study was to compare the prognostic factors between bacteraemic and non-bacteraemic patients in the context of severe pneumococcal CAP.</t>
  </si>
  <si>
    <t>Adults (&gt;18 years), immunocompetent, severe pneumococcal community-acquired pneumonia, ICU admission. Excluded: immunodeficiency, non-CAP pneumonia, aspiration pneumonia</t>
  </si>
  <si>
    <t>Single cohort (positive blood culture vs negative blood culture analysis)</t>
  </si>
  <si>
    <t>Day-5 mortality, distribution of pneumococcal serotypes, prognostic factors for mortality, impact of initial antibiotic regimen (β-lactam monotherapy vs dual therapy)</t>
  </si>
  <si>
    <t xml:space="preserve">S.pneumoniae SCAP mortality data. </t>
  </si>
  <si>
    <t>22/614</t>
  </si>
  <si>
    <t>invasive MV = 307/614</t>
  </si>
  <si>
    <t>171/614</t>
  </si>
  <si>
    <t>278/614</t>
  </si>
  <si>
    <t>116/614</t>
  </si>
  <si>
    <t>Bacterial</t>
  </si>
  <si>
    <t>614/614</t>
  </si>
  <si>
    <t>S. pneumoniae</t>
  </si>
  <si>
    <t>French public research agency PHRC (#07/061), Assistance Publique–Hôpitaux de Paris (AP-HP), Délégation à la Recherche Clinique et au Développement (DRCD)</t>
  </si>
  <si>
    <t>NB: no mention of prospective vs retrospective</t>
  </si>
  <si>
    <t>The increasing rates of COPD in SCAP patients highlights the importance of a thorough assessment with an accurate and useful tool when managing those patients. The aim of this study was to investigate the risk factors and to develop a useful nomogram for prediction of hospital mortality in those patients.</t>
  </si>
  <si>
    <t>Unable to access</t>
  </si>
  <si>
    <t>SEX</t>
  </si>
  <si>
    <t>COPD</t>
  </si>
  <si>
    <t>SMOKERS</t>
  </si>
  <si>
    <t>DIABETES</t>
  </si>
  <si>
    <t xml:space="preserve"> investigate clinical characters and prognosis of patients with systemic lupus erythematosus (SLE) and severe pneumonia admitted to the intensive care unit (ICU).</t>
  </si>
  <si>
    <t xml:space="preserve">patients with SLE and sCAP </t>
  </si>
  <si>
    <t>42.3 ± 14.7 (Median ± SD)</t>
  </si>
  <si>
    <t>death within 30 days of ICU admission, death until December 2020</t>
  </si>
  <si>
    <t xml:space="preserve">LOS ICU, MV, RRT, vasoactive drugs, inotropic drugs, </t>
  </si>
  <si>
    <t xml:space="preserve">SLE, diabetes, HTN, HF, chronic renal failure, antiphospholipid syndrome </t>
  </si>
  <si>
    <t>n=31/86</t>
  </si>
  <si>
    <t>17.9 ± 13.5 ( mean ± SD)</t>
  </si>
  <si>
    <t>49, (57) n, (%)</t>
  </si>
  <si>
    <t>21, (24.4) n, (%)</t>
  </si>
  <si>
    <t>vasoactive drugs 39, (45.3); inotropic drugs 16, (18.6) both n, (%)</t>
  </si>
  <si>
    <t>sepsis 15 (17.4); shock 20 (23.2) both n (%)</t>
  </si>
  <si>
    <t>77 (89.5) n (%)</t>
  </si>
  <si>
    <t>Bacterial, fungal, viral</t>
  </si>
  <si>
    <t>Gram positive (n, %) 18 (20.9); Gram negative (n, %) 16 (18.6)</t>
  </si>
  <si>
    <t>2 (2.3) n (%)</t>
  </si>
  <si>
    <t>Fungal (n, %) 9 (10.4); Pneumocystis jirovecii (n, %) 3 (3.4); Mycobacterium tuberculosis (n, %) 2 (2.3)</t>
  </si>
  <si>
    <t>5 (5.8) n (%)</t>
  </si>
  <si>
    <t>This study was supported by the grants from the National Science Foundation of Zhejiang (LQ17H030005), the Wenzhou Committee of Science and Technology (Y2020267), and 2019 Jiaxing Key Discipiline of Medcine-Rheumatology and Autoim_x0002_munology(Supporting Subject) (2019-zc-03).</t>
  </si>
  <si>
    <t>27/40 (67.5%)</t>
  </si>
  <si>
    <t>Male (n, %) 15/86 (17.4)</t>
  </si>
  <si>
    <t>15/40 (37.5%) </t>
  </si>
  <si>
    <t>14/40 (35.0%) </t>
  </si>
  <si>
    <t>40/63 (63.5%)</t>
  </si>
  <si>
    <t>reports "chronic lung disease"</t>
  </si>
  <si>
    <t>20/63 (31.7%)</t>
  </si>
  <si>
    <t>390/575 (67.83%)</t>
  </si>
  <si>
    <t>107/575 (18.61%)</t>
  </si>
  <si>
    <t>13486/24422 (55.22%)</t>
  </si>
  <si>
    <t>3151/24422 (12.90%)</t>
  </si>
  <si>
    <t>3831/24422 (15.69%)</t>
  </si>
  <si>
    <t>4474/24422 (18.32%)</t>
  </si>
  <si>
    <t>176/257 (68.5%)</t>
  </si>
  <si>
    <t>74/257 (28.8%)</t>
  </si>
  <si>
    <t>38/257 (14.8%)</t>
  </si>
  <si>
    <t>85/158 (53.8%)</t>
  </si>
  <si>
    <t>https://pmc.ncbi.nlm.nih.gov/articles/PMC12055926/pdf/134_2025_Article_7861.pdf</t>
  </si>
  <si>
    <t>To determine whether hydrocortisone improves mortality in severe community-acquired pneumonia</t>
  </si>
  <si>
    <t>all-cause mortality, determined 90 days after randomization</t>
  </si>
  <si>
    <t>ICU mortality, hospital length of stay (LOS), and ICU LOS, censored at 90 days; ventilator-free days (VFD), organ-support free days (OSFD), and proportion of intubated patients who receive a tracheostomy, censored at 28 days; progression to intubation and mechanical ventilation, extracorporeal membrane oxygenation (ECMO), or death, and readmission to the index ICU, each during the index hospitalization, censored at 90 days; destination at hospital discharge (home, rehabilitation hospital, nursing home or long-term care facility, or another acute hospitalization); and serious adverse events.</t>
  </si>
  <si>
    <t>multinational: Australia, Europe, North America and Asia</t>
  </si>
  <si>
    <t>Adults ≥18 years with severe community-acquired pneumonia admitted to ICU within 48 h of presentation and requiring respiratory and/or cardiovascular organ support</t>
  </si>
  <si>
    <t xml:space="preserve"> ≥18 years … Median age: Hydrocortisone 62.5 years (IQR 52–73); Control 58.5 years (IQR 48–68)</t>
  </si>
  <si>
    <t>Hydrocortisone (Intravenous hydrocortisone 50 mg every 6 h for 7 days, no taper) vs control (no corticosteroid)</t>
  </si>
  <si>
    <t>Severe CAP requiring ICU support; subgroup analyses by influenza status and vasopressor-dependent shock.</t>
  </si>
  <si>
    <t>57/658 (8.66%)</t>
  </si>
  <si>
    <t>90/643 (14.00%)</t>
  </si>
  <si>
    <t>75/656 (11.43%)</t>
  </si>
  <si>
    <t>479/656 (73.02%)</t>
  </si>
  <si>
    <t>LOS (days) median (10th to 90th percentile): 12 days (4 to -) hydrocortisone group vs 14 days (4–55) control group</t>
  </si>
  <si>
    <t>LOS (days) median (10th to 90th percentile): 5 (1–43) hydrocortisone group; 5.5 (2–34) control group</t>
  </si>
  <si>
    <t>Hydrocortisone 213/536 (39.7%); Control 46/122 (37.7%)</t>
  </si>
  <si>
    <t>Hydrocortisone 76/536 (14.2%); Control 21/122 (17.2%)</t>
  </si>
  <si>
    <t xml:space="preserve">ECMO alone not reported </t>
  </si>
  <si>
    <t>316/658 (48.02%)</t>
  </si>
  <si>
    <t>321/658 (48.78%)</t>
  </si>
  <si>
    <t>603/656 (91.92%) - inferred from population requiring invasive mechanical ventilation + NIV + HFNO vs population requiring no acute respiratory support</t>
  </si>
  <si>
    <t>mixed (viral and bacterial), bacterial, viral (including COVID), "other pathogen"</t>
  </si>
  <si>
    <t>should we be excluding this study as it includes COVID patients??</t>
  </si>
  <si>
    <t>265/651 (40.71%)</t>
  </si>
  <si>
    <t>69/650 (10.62%)</t>
  </si>
  <si>
    <t>Streptococcus pneumoniae 134/651 (20.58%); SARS-CoV-2 10/627 (1.59%); influenza 47/658 (7.14%); atypical (legionella/mycoplasma/chlamydphila spp) 62/647 (9.58%); other pathogen isolated 3/650 (0.46%)</t>
  </si>
  <si>
    <t>400/658 (60.79%)</t>
  </si>
  <si>
    <t>188/654 (28.75%)</t>
  </si>
  <si>
    <t>The Platform for European Preparedness Against (Re-) emerging Epidemics (PREPARE) consortium by the European Union, FP7-HEALTH-2013-INNOVATION-1 (#602525), the EU H2020 Rapid European CoVid-19 Emergency response Research (RECoVER) grant (#101003589), the EU H2020 European Clinical Research Alliance for Infectious Diseases—Base funding (ECRAID-Base) (#965313), the Australian National Health and Medical Research Council (#APP1101719), the New Zealand Health Research Council (#16/631), and the Canadian Institute of Health Research Strategy for Patient-Oriented Research Innovative Clinical Trials Program Grant (#158584), the UK National Institute for Health Research (NIHR) and the Imperial College NHS Trust Biomedical Research Centre, the Health Research Board of Ireland (CTN 2014-012), the UPMC Learning While Doing Program, the Breast Cancer Research Foundation, the French Ministry of Health (PHRC-20-0147), the Minderoo Foundation, the National University Health System (NUHSRO/2021/002/RO5 + 6/adhoc/02/LOA) and National Research Foundation Singapore under its Open Fund- Large Collaborative Grant (NMRC/oflcg19May—0034) and administered by the Singapore Ministry of Health’s National Medical Research Council. Role of the funder/sponsor: The funders had no role in the design and conduct of the study; collection, management, analysis, and interpretation of the data; preparation, review, or approval of the manuscript; and decision to submit the manuscript for publication. The study has 4 regional non-profit sponsors (Monash University, Melbourne, Australia (Australasian sponsor); Utrecht Medical Center, Utrecht, the Netherlands (European sponsor); St. Michael’s Hospital, Canada (Canadian sponsor), and; GCAR, San Francisco, USA (US sponsor)). Several authors are employees of these organizations. However, beyond the declared author contributions, the sponsors had no role in study design, analysis, or reporting.</t>
  </si>
  <si>
    <t>86/129 (66.7%)</t>
  </si>
  <si>
    <t>All patients with an age over 18 admitted to ICUs with a final diagnosis of KP-CAP or SP-CAP were screened. We included all patients with monobacterial KP-CAP or SP-CAP.</t>
  </si>
  <si>
    <t>75/108 (69.4%)</t>
  </si>
  <si>
    <t>32/106 (30.2%)</t>
  </si>
  <si>
    <t>39/97 (40.2%)</t>
  </si>
  <si>
    <t>27/106 (25.5%)</t>
  </si>
  <si>
    <t>37409/72107 (51.9%)</t>
  </si>
  <si>
    <t>32439/72107 (45.0%)</t>
  </si>
  <si>
    <t>25781/72107 (35.8%)</t>
  </si>
  <si>
    <t>131/230 (57.0%)</t>
  </si>
  <si>
    <t>560/778 (72.0%)</t>
  </si>
  <si>
    <t>current smoker 512/778 (65.8%); ex-smoker 225/778 (28.9%)</t>
  </si>
  <si>
    <t>304/778 (39.1%)</t>
  </si>
  <si>
    <t>139/204 (68.1%)</t>
  </si>
  <si>
    <t>"Chronic respiratory disease" 80/204 (39.2%)</t>
  </si>
  <si>
    <t>Chronic respiratory disease" 57/778 (7.3%)</t>
  </si>
  <si>
    <t>21/204 (10.3%)</t>
  </si>
  <si>
    <t>63/204 (31.0%)</t>
  </si>
  <si>
    <t>154/262 (58.8%)</t>
  </si>
  <si>
    <t>132/262 (50.4%)</t>
  </si>
  <si>
    <t>32/262 (12.2%)</t>
  </si>
  <si>
    <t>"Chronic respiratory disease" 80/262 (30.5%)</t>
  </si>
  <si>
    <t>256/393 (65.1%)</t>
  </si>
  <si>
    <t>"Chronic lung disease" 95/393 (24.2%)</t>
  </si>
  <si>
    <t>192/393 (48.9%)</t>
  </si>
  <si>
    <t>1530/2275 (67.3%)</t>
  </si>
  <si>
    <t>"chronic pulmonary diseases" 586/2275 (25.8%)</t>
  </si>
  <si>
    <t>373/2275 (16.4%)</t>
  </si>
  <si>
    <t>80/137 (58.4%)</t>
  </si>
  <si>
    <t>"chronic respiratory disease" 49/137 (35.8%)</t>
  </si>
  <si>
    <t>35/137 (25.6%)</t>
  </si>
  <si>
    <t>"patient follow-up was until hospital discharge" … hospital mortality 361/873 (41.4%), therefore survival to hosp discharge 512/873 (58.6%)</t>
  </si>
  <si>
    <t>618/873 (70.9%)</t>
  </si>
  <si>
    <t>136/873 (15.6%)</t>
  </si>
  <si>
    <t>873/873 (100%)</t>
  </si>
  <si>
    <t>377/614 (61.4%)</t>
  </si>
  <si>
    <t>≥18 years: positive BC median (range) 62 (19 to 96); negative BC 64 (21 to 99)</t>
  </si>
  <si>
    <t>≥18 years: year, mean +/- SD 60 (+/- 16.5)</t>
  </si>
  <si>
    <t>≥18 years: years median (IQR) 69 (56, 79)</t>
  </si>
  <si>
    <t xml:space="preserve">≥18 years: years median (IQR) 63.0 (49.0–73.0) </t>
  </si>
  <si>
    <t xml:space="preserve">&gt;18: years median IQR; no LP 65 (53–77); LP 59 (49–74) </t>
  </si>
  <si>
    <t xml:space="preserve"> ≥80 years: year median (Q1 ; Q3) 83 (81; 85)</t>
  </si>
  <si>
    <t>≥18 years: median age of 73 years (range 18–95, IQR: 20)</t>
  </si>
  <si>
    <t>≥18 years: years median [IQR] KP-CAP 68 [56, 80]; SP-CAP 73 [61, 81]</t>
  </si>
  <si>
    <t>≥18 years: years mean +/- SD 75.03± 13.41</t>
  </si>
  <si>
    <t>≥18 years: mean years 65.4; SD 14.6; median years 67</t>
  </si>
  <si>
    <t>≥18 years:</t>
  </si>
  <si>
    <t>≥18 years: years mean +/- SD 75.1 ± 14.0</t>
  </si>
  <si>
    <t>Adults with severe community-acquired pneumonia (sCAP) and COPD admitted to ICU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</si>
</sst>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2"/>
      <color theme="1"/>
      <name val="Aptos Narrow"/>
      <family val="2"/>
      <scheme val="minor"/>
    </font>
    <font>
      <sz val="14"/>
      <color rgb="FF000000"/>
      <name val="-webkit-standard"/>
    </font>
    <font>
      <sz val="12"/>
      <color rgb="FF000000"/>
      <name val="Aptos Narrow"/>
      <scheme val="minor"/>
    </font>
    <font>
      <sz val="12"/>
      <color theme="1"/>
      <name val="Aptos Narrow"/>
      <scheme val="minor"/>
    </font>
    <font>
      <sz val="12"/>
      <name val="Aptos Narrow"/>
      <scheme val="minor"/>
    </font>
    <font>
      <sz val="12"/>
      <color rgb="FF151614"/>
      <name val="Aptos Narrow"/>
      <scheme val="minor"/>
    </font>
    <font>
      <sz val="12"/>
      <color rgb="FF222222"/>
      <name val="Aptos Narrow"/>
      <scheme val="minor"/>
    </font>
    <font>
      <sz val="12"/>
      <color rgb="FF1F1F1F"/>
      <name val="Aptos Narrow"/>
      <scheme val="minor"/>
    </font>
    <font>
      <i/>
      <sz val="12"/>
      <color rgb="FF000000"/>
      <name val="Aptos Narrow"/>
      <scheme val="minor"/>
    </font>
  </fonts>
  <fills count="11">
    <fill>
      <patternFill patternType="none"/>
    </fill>
    <fill>
      <patternFill patternType="gray125"/>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3" tint="0.89999084444715716"/>
        <bgColor indexed="64"/>
      </patternFill>
    </fill>
    <fill>
      <patternFill patternType="solid">
        <fgColor theme="2" tint="-9.9978637043366805E-2"/>
        <bgColor indexed="64"/>
      </patternFill>
    </fill>
    <fill>
      <patternFill patternType="solid">
        <fgColor rgb="FFFFFF00"/>
        <bgColor indexed="64"/>
      </patternFill>
    </fill>
    <fill>
      <patternFill patternType="solid">
        <fgColor theme="0"/>
        <bgColor indexed="64"/>
      </patternFill>
    </fill>
    <fill>
      <patternFill patternType="solid">
        <fgColor theme="0"/>
        <bgColor rgb="FF000000"/>
      </patternFill>
    </fill>
  </fills>
  <borders count="1">
    <border>
      <left/>
      <right/>
      <top/>
      <bottom/>
      <diagonal/>
    </border>
  </borders>
  <cellStyleXfs count="1">
    <xf numFmtId="0" fontId="0" fillId="0" borderId="0"/>
  </cellStyleXfs>
  <cellXfs count="30">
    <xf numFmtId="0" fontId="0" fillId="0" borderId="0" xfId="0"/>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1" fillId="0" borderId="0" xfId="0" applyFont="1"/>
    <xf numFmtId="0" fontId="0" fillId="0" borderId="0" xfId="0" applyAlignment="1">
      <alignment wrapText="1"/>
    </xf>
    <xf numFmtId="0" fontId="2" fillId="0" borderId="0" xfId="0" applyFont="1"/>
    <xf numFmtId="0" fontId="3" fillId="2" borderId="0" xfId="0" applyFont="1" applyFill="1"/>
    <xf numFmtId="0" fontId="3" fillId="3" borderId="0" xfId="0" applyFont="1" applyFill="1"/>
    <xf numFmtId="0" fontId="3" fillId="4" borderId="0" xfId="0" applyFont="1" applyFill="1"/>
    <xf numFmtId="0" fontId="3" fillId="5" borderId="0" xfId="0" applyFont="1" applyFill="1"/>
    <xf numFmtId="0" fontId="3" fillId="6" borderId="0" xfId="0" applyFont="1" applyFill="1"/>
    <xf numFmtId="0" fontId="3" fillId="7" borderId="0" xfId="0" applyFont="1" applyFill="1"/>
    <xf numFmtId="0" fontId="3" fillId="0" borderId="0" xfId="0" applyFont="1"/>
    <xf numFmtId="0" fontId="3" fillId="8" borderId="0" xfId="0" applyFont="1" applyFill="1"/>
    <xf numFmtId="0" fontId="4" fillId="0" borderId="0" xfId="0" applyFont="1"/>
    <xf numFmtId="0" fontId="5" fillId="0" borderId="0" xfId="0" applyFont="1"/>
    <xf numFmtId="0" fontId="6" fillId="0" borderId="0" xfId="0" applyFont="1"/>
    <xf numFmtId="0" fontId="5" fillId="8" borderId="0" xfId="0" applyFont="1" applyFill="1"/>
    <xf numFmtId="3" fontId="3" fillId="0" borderId="0" xfId="0" applyNumberFormat="1" applyFont="1"/>
    <xf numFmtId="0" fontId="7" fillId="0" borderId="0" xfId="0" applyFont="1"/>
    <xf numFmtId="0" fontId="3" fillId="0" borderId="0" xfId="0" applyFont="1" applyAlignment="1">
      <alignment wrapText="1"/>
    </xf>
    <xf numFmtId="0" fontId="3" fillId="9" borderId="0" xfId="0" applyFont="1" applyFill="1"/>
    <xf numFmtId="0" fontId="2" fillId="10" borderId="0" xfId="0" applyFont="1" applyFill="1"/>
    <xf numFmtId="0" fontId="2" fillId="9" borderId="0" xfId="0" applyFont="1" applyFill="1"/>
    <xf numFmtId="0" fontId="3" fillId="9" borderId="0" xfId="0" applyFont="1" applyFill="1" applyAlignment="1">
      <alignment wrapText="1"/>
    </xf>
    <xf numFmtId="10" fontId="2"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8D33A-CA53-9549-98B3-F47F8755525E}">
  <dimension ref="A1:AV24"/>
  <sheetViews>
    <sheetView tabSelected="1" topLeftCell="A5" zoomScale="80" zoomScaleNormal="80" workbookViewId="0">
      <selection activeCell="E32" sqref="E32"/>
    </sheetView>
  </sheetViews>
  <sheetFormatPr baseColWidth="10" defaultRowHeight="16"/>
  <cols>
    <col min="1" max="5" width="10.83203125" style="16"/>
    <col min="6" max="6" width="13" style="16" customWidth="1"/>
    <col min="7" max="7" width="12.5" style="16" customWidth="1"/>
    <col min="8" max="8" width="10.83203125" style="16"/>
    <col min="9" max="9" width="12.6640625" style="16" customWidth="1"/>
    <col min="10" max="10" width="14.6640625" style="16" customWidth="1"/>
    <col min="11" max="11" width="10.83203125" style="16"/>
    <col min="12" max="12" width="14" style="16" customWidth="1"/>
    <col min="13" max="13" width="16.1640625" style="16" customWidth="1"/>
    <col min="14" max="15" width="10.83203125" style="16"/>
    <col min="16" max="16" width="19.6640625" style="16" customWidth="1"/>
    <col min="17" max="29" width="10.83203125" style="16"/>
    <col min="30" max="30" width="19.5" style="16" customWidth="1"/>
    <col min="31" max="33" width="10.83203125" style="16"/>
    <col min="34" max="34" width="23.83203125" style="16" customWidth="1"/>
    <col min="35" max="35" width="11" style="16" customWidth="1"/>
    <col min="36" max="36" width="16" style="16" customWidth="1"/>
    <col min="37" max="37" width="14.83203125" style="16" customWidth="1"/>
    <col min="38" max="38" width="36" style="16" customWidth="1"/>
    <col min="39" max="39" width="19.1640625" style="16" customWidth="1"/>
    <col min="40" max="40" width="15.83203125" style="16" customWidth="1"/>
    <col min="41" max="41" width="20.83203125" style="16" customWidth="1"/>
    <col min="42" max="46" width="19" style="16" customWidth="1"/>
    <col min="47" max="16384" width="10.83203125" style="16"/>
  </cols>
  <sheetData>
    <row r="1" spans="1:48">
      <c r="A1" s="10" t="s">
        <v>40</v>
      </c>
      <c r="B1" s="10" t="s">
        <v>44</v>
      </c>
      <c r="C1" s="10" t="s">
        <v>41</v>
      </c>
      <c r="D1" s="10" t="s">
        <v>39</v>
      </c>
      <c r="E1" s="10" t="s">
        <v>0</v>
      </c>
      <c r="F1" s="10" t="s">
        <v>1</v>
      </c>
      <c r="G1" s="10" t="s">
        <v>42</v>
      </c>
      <c r="H1" s="10" t="s">
        <v>2</v>
      </c>
      <c r="I1" s="10" t="s">
        <v>9</v>
      </c>
      <c r="J1" s="10" t="s">
        <v>37</v>
      </c>
      <c r="K1" s="10" t="s">
        <v>38</v>
      </c>
      <c r="L1" s="10" t="s">
        <v>35</v>
      </c>
      <c r="M1" s="10" t="s">
        <v>45</v>
      </c>
      <c r="N1" s="11" t="s">
        <v>3</v>
      </c>
      <c r="O1" s="11" t="s">
        <v>4</v>
      </c>
      <c r="P1" s="11" t="s">
        <v>12</v>
      </c>
      <c r="Q1" s="11" t="s">
        <v>36</v>
      </c>
      <c r="R1" s="11" t="s">
        <v>7</v>
      </c>
      <c r="S1" s="11" t="s">
        <v>8</v>
      </c>
      <c r="T1" s="11" t="s">
        <v>46</v>
      </c>
      <c r="U1" s="12" t="s">
        <v>13</v>
      </c>
      <c r="V1" s="12" t="s">
        <v>14</v>
      </c>
      <c r="W1" s="12" t="s">
        <v>15</v>
      </c>
      <c r="X1" s="12" t="s">
        <v>16</v>
      </c>
      <c r="Y1" s="12" t="s">
        <v>17</v>
      </c>
      <c r="Z1" s="12" t="s">
        <v>18</v>
      </c>
      <c r="AA1" s="12" t="s">
        <v>19</v>
      </c>
      <c r="AB1" s="12" t="s">
        <v>20</v>
      </c>
      <c r="AC1" s="12" t="s">
        <v>21</v>
      </c>
      <c r="AD1" s="13" t="s">
        <v>22</v>
      </c>
      <c r="AE1" s="13" t="s">
        <v>23</v>
      </c>
      <c r="AF1" s="13" t="s">
        <v>24</v>
      </c>
      <c r="AG1" s="13" t="s">
        <v>25</v>
      </c>
      <c r="AH1" s="13" t="s">
        <v>26</v>
      </c>
      <c r="AI1" s="13" t="s">
        <v>27</v>
      </c>
      <c r="AJ1" s="13" t="s">
        <v>28</v>
      </c>
      <c r="AK1" s="13" t="s">
        <v>33</v>
      </c>
      <c r="AL1" s="14" t="s">
        <v>43</v>
      </c>
      <c r="AM1" s="14" t="s">
        <v>29</v>
      </c>
      <c r="AN1" s="14" t="s">
        <v>30</v>
      </c>
      <c r="AO1" s="14" t="s">
        <v>31</v>
      </c>
      <c r="AP1" s="14" t="s">
        <v>32</v>
      </c>
      <c r="AQ1" s="14" t="s">
        <v>430</v>
      </c>
      <c r="AR1" s="14" t="s">
        <v>431</v>
      </c>
      <c r="AS1" s="14" t="s">
        <v>432</v>
      </c>
      <c r="AT1" s="14" t="s">
        <v>433</v>
      </c>
      <c r="AU1" s="15" t="s">
        <v>34</v>
      </c>
      <c r="AV1" s="14" t="s">
        <v>70</v>
      </c>
    </row>
    <row r="2" spans="1:48">
      <c r="A2" s="16">
        <v>1</v>
      </c>
      <c r="B2" s="9" t="s">
        <v>47</v>
      </c>
      <c r="C2" s="16" t="s">
        <v>48</v>
      </c>
      <c r="D2" s="16" t="s">
        <v>49</v>
      </c>
      <c r="E2" s="16" t="s">
        <v>50</v>
      </c>
      <c r="F2" s="16">
        <v>2024</v>
      </c>
      <c r="G2" s="16" t="s">
        <v>51</v>
      </c>
      <c r="H2" s="16" t="s">
        <v>98</v>
      </c>
      <c r="I2" s="16" t="s">
        <v>99</v>
      </c>
      <c r="J2" s="16" t="s">
        <v>86</v>
      </c>
      <c r="K2" s="16" t="s">
        <v>100</v>
      </c>
      <c r="L2" s="16" t="s">
        <v>434</v>
      </c>
      <c r="M2" s="16" t="s">
        <v>62</v>
      </c>
      <c r="N2" s="16" t="s">
        <v>435</v>
      </c>
      <c r="O2" s="16" t="s">
        <v>436</v>
      </c>
      <c r="P2" s="16">
        <v>86</v>
      </c>
      <c r="Q2" s="16" t="s">
        <v>109</v>
      </c>
      <c r="R2" s="16" t="s">
        <v>437</v>
      </c>
      <c r="S2" s="16" t="s">
        <v>438</v>
      </c>
      <c r="T2" s="16" t="s">
        <v>439</v>
      </c>
      <c r="U2" s="16" t="s">
        <v>62</v>
      </c>
      <c r="V2" s="16" t="s">
        <v>62</v>
      </c>
      <c r="W2" s="16" t="s">
        <v>440</v>
      </c>
      <c r="X2" s="16" t="s">
        <v>62</v>
      </c>
      <c r="Y2" s="16" t="s">
        <v>62</v>
      </c>
      <c r="Z2" s="16" t="s">
        <v>62</v>
      </c>
      <c r="AA2" s="16" t="s">
        <v>441</v>
      </c>
      <c r="AB2" s="16" t="s">
        <v>62</v>
      </c>
      <c r="AC2" s="16" t="s">
        <v>62</v>
      </c>
      <c r="AD2" s="16" t="s">
        <v>442</v>
      </c>
      <c r="AE2" s="16" t="s">
        <v>62</v>
      </c>
      <c r="AF2" s="16" t="s">
        <v>62</v>
      </c>
      <c r="AG2" s="16" t="s">
        <v>443</v>
      </c>
      <c r="AH2" s="16" t="s">
        <v>444</v>
      </c>
      <c r="AI2" s="16" t="s">
        <v>445</v>
      </c>
      <c r="AJ2" s="16" t="s">
        <v>446</v>
      </c>
      <c r="AK2" s="16" t="s">
        <v>62</v>
      </c>
      <c r="AL2" s="16" t="s">
        <v>447</v>
      </c>
      <c r="AM2" s="16" t="s">
        <v>448</v>
      </c>
      <c r="AN2" s="16" t="s">
        <v>449</v>
      </c>
      <c r="AO2" s="16" t="s">
        <v>450</v>
      </c>
      <c r="AP2" s="16" t="s">
        <v>62</v>
      </c>
      <c r="AQ2" s="16" t="s">
        <v>454</v>
      </c>
      <c r="AR2" s="16" t="s">
        <v>62</v>
      </c>
      <c r="AS2" s="16" t="s">
        <v>62</v>
      </c>
      <c r="AT2" s="16" t="s">
        <v>451</v>
      </c>
      <c r="AU2" s="16" t="s">
        <v>452</v>
      </c>
    </row>
    <row r="3" spans="1:48">
      <c r="A3" s="16">
        <v>2</v>
      </c>
      <c r="B3" s="9" t="s">
        <v>52</v>
      </c>
      <c r="C3" s="16" t="s">
        <v>53</v>
      </c>
      <c r="D3" s="16" t="s">
        <v>54</v>
      </c>
      <c r="E3" s="16" t="s">
        <v>55</v>
      </c>
      <c r="F3" s="9">
        <v>2015</v>
      </c>
      <c r="G3" s="16" t="s">
        <v>57</v>
      </c>
      <c r="H3" s="16" t="s">
        <v>58</v>
      </c>
      <c r="I3" s="16" t="s">
        <v>59</v>
      </c>
      <c r="J3" s="16" t="s">
        <v>86</v>
      </c>
      <c r="K3" s="16" t="s">
        <v>60</v>
      </c>
      <c r="L3" s="18" t="s">
        <v>56</v>
      </c>
      <c r="M3" s="16" t="s">
        <v>62</v>
      </c>
      <c r="N3" s="16" t="s">
        <v>84</v>
      </c>
      <c r="O3" s="9" t="s">
        <v>546</v>
      </c>
      <c r="P3" s="16">
        <v>40</v>
      </c>
      <c r="Q3" s="16" t="s">
        <v>109</v>
      </c>
      <c r="R3" s="16" t="s">
        <v>63</v>
      </c>
      <c r="S3" s="9" t="s">
        <v>92</v>
      </c>
      <c r="T3" s="16" t="s">
        <v>64</v>
      </c>
      <c r="U3" s="16" t="s">
        <v>65</v>
      </c>
      <c r="V3" s="16" t="s">
        <v>62</v>
      </c>
      <c r="W3" s="16" t="s">
        <v>62</v>
      </c>
      <c r="X3" s="16" t="s">
        <v>62</v>
      </c>
      <c r="Y3" s="16" t="s">
        <v>62</v>
      </c>
      <c r="Z3" s="16" t="s">
        <v>66</v>
      </c>
      <c r="AA3" s="16" t="s">
        <v>62</v>
      </c>
      <c r="AB3" s="16" t="s">
        <v>62</v>
      </c>
      <c r="AC3" s="16" t="s">
        <v>62</v>
      </c>
      <c r="AD3" s="16" t="s">
        <v>62</v>
      </c>
      <c r="AE3" s="16" t="s">
        <v>62</v>
      </c>
      <c r="AF3" s="16" t="s">
        <v>62</v>
      </c>
      <c r="AG3" s="16" t="s">
        <v>62</v>
      </c>
      <c r="AH3" s="16" t="s">
        <v>62</v>
      </c>
      <c r="AI3" s="16" t="s">
        <v>67</v>
      </c>
      <c r="AJ3" s="16" t="s">
        <v>62</v>
      </c>
      <c r="AK3" s="16" t="s">
        <v>62</v>
      </c>
      <c r="AL3" s="16" t="s">
        <v>71</v>
      </c>
      <c r="AM3" s="16" t="s">
        <v>68</v>
      </c>
      <c r="AN3" s="16" t="s">
        <v>62</v>
      </c>
      <c r="AO3" s="16" t="s">
        <v>72</v>
      </c>
      <c r="AP3" s="16" t="s">
        <v>62</v>
      </c>
      <c r="AQ3" s="16" t="s">
        <v>453</v>
      </c>
      <c r="AR3" s="16" t="s">
        <v>455</v>
      </c>
      <c r="AS3" s="16" t="s">
        <v>62</v>
      </c>
      <c r="AT3" s="16" t="s">
        <v>456</v>
      </c>
      <c r="AU3" s="16" t="s">
        <v>69</v>
      </c>
    </row>
    <row r="4" spans="1:48">
      <c r="A4" s="16">
        <v>3</v>
      </c>
      <c r="B4" s="16" t="s">
        <v>74</v>
      </c>
      <c r="C4" s="16" t="s">
        <v>75</v>
      </c>
      <c r="D4" s="16" t="s">
        <v>73</v>
      </c>
      <c r="E4" s="16" t="s">
        <v>76</v>
      </c>
      <c r="F4" s="16">
        <v>2009</v>
      </c>
      <c r="G4" s="16" t="s">
        <v>77</v>
      </c>
      <c r="H4" s="16" t="s">
        <v>58</v>
      </c>
      <c r="I4" s="16" t="s">
        <v>59</v>
      </c>
      <c r="J4" s="16" t="s">
        <v>86</v>
      </c>
      <c r="K4" s="16" t="s">
        <v>60</v>
      </c>
      <c r="L4" s="19" t="s">
        <v>78</v>
      </c>
      <c r="M4" s="16" t="s">
        <v>62</v>
      </c>
      <c r="N4" s="16" t="s">
        <v>83</v>
      </c>
      <c r="O4" s="16" t="s">
        <v>79</v>
      </c>
      <c r="P4" s="16">
        <v>63</v>
      </c>
      <c r="Q4" s="16" t="s">
        <v>110</v>
      </c>
      <c r="R4" s="16" t="s">
        <v>81</v>
      </c>
      <c r="S4" s="9" t="s">
        <v>87</v>
      </c>
      <c r="T4" s="16" t="s">
        <v>85</v>
      </c>
      <c r="U4" s="16" t="s">
        <v>62</v>
      </c>
      <c r="V4" s="16" t="s">
        <v>80</v>
      </c>
      <c r="W4" s="16" t="s">
        <v>62</v>
      </c>
      <c r="X4" s="16" t="s">
        <v>62</v>
      </c>
      <c r="Y4" s="16" t="s">
        <v>62</v>
      </c>
      <c r="Z4" s="16" t="s">
        <v>62</v>
      </c>
      <c r="AA4" s="16" t="s">
        <v>62</v>
      </c>
      <c r="AB4" s="16" t="s">
        <v>62</v>
      </c>
      <c r="AC4" s="16" t="s">
        <v>62</v>
      </c>
      <c r="AD4" s="16" t="s">
        <v>62</v>
      </c>
      <c r="AE4" s="16" t="s">
        <v>62</v>
      </c>
      <c r="AF4" s="16" t="s">
        <v>62</v>
      </c>
      <c r="AG4" s="16" t="s">
        <v>62</v>
      </c>
      <c r="AH4" s="16" t="s">
        <v>62</v>
      </c>
      <c r="AI4" s="16" t="s">
        <v>88</v>
      </c>
      <c r="AJ4" s="9" t="s">
        <v>62</v>
      </c>
      <c r="AK4" s="9" t="s">
        <v>62</v>
      </c>
      <c r="AL4" s="16" t="s">
        <v>89</v>
      </c>
      <c r="AM4" s="16" t="s">
        <v>90</v>
      </c>
      <c r="AN4" s="9" t="s">
        <v>62</v>
      </c>
      <c r="AO4" s="19" t="s">
        <v>91</v>
      </c>
      <c r="AP4" s="16" t="s">
        <v>62</v>
      </c>
      <c r="AQ4" s="16" t="s">
        <v>457</v>
      </c>
      <c r="AR4" s="16" t="s">
        <v>458</v>
      </c>
      <c r="AS4" s="16" t="s">
        <v>62</v>
      </c>
      <c r="AT4" s="16" t="s">
        <v>459</v>
      </c>
      <c r="AU4" s="19" t="s">
        <v>82</v>
      </c>
    </row>
    <row r="5" spans="1:48">
      <c r="A5" s="16">
        <v>4</v>
      </c>
      <c r="B5" s="16" t="s">
        <v>95</v>
      </c>
      <c r="C5" s="16" t="s">
        <v>94</v>
      </c>
      <c r="D5" s="16" t="s">
        <v>93</v>
      </c>
      <c r="E5" s="16" t="s">
        <v>96</v>
      </c>
      <c r="F5" s="16">
        <v>2025</v>
      </c>
      <c r="G5" s="16" t="s">
        <v>97</v>
      </c>
      <c r="H5" s="16" t="s">
        <v>98</v>
      </c>
      <c r="I5" s="16" t="s">
        <v>99</v>
      </c>
      <c r="J5" s="16" t="s">
        <v>86</v>
      </c>
      <c r="K5" s="16" t="s">
        <v>100</v>
      </c>
      <c r="L5" s="20" t="s">
        <v>101</v>
      </c>
      <c r="M5" s="16" t="s">
        <v>62</v>
      </c>
      <c r="N5" s="16" t="s">
        <v>102</v>
      </c>
      <c r="O5" s="9" t="s">
        <v>545</v>
      </c>
      <c r="P5" s="16" t="s">
        <v>103</v>
      </c>
      <c r="Q5" s="16" t="s">
        <v>104</v>
      </c>
      <c r="R5" s="16" t="s">
        <v>105</v>
      </c>
      <c r="S5" s="9" t="s">
        <v>107</v>
      </c>
      <c r="T5" s="16" t="s">
        <v>108</v>
      </c>
      <c r="U5" s="16" t="s">
        <v>113</v>
      </c>
      <c r="V5" s="16" t="s">
        <v>62</v>
      </c>
      <c r="W5" s="16" t="s">
        <v>62</v>
      </c>
      <c r="X5" s="16" t="s">
        <v>62</v>
      </c>
      <c r="Y5" s="16" t="s">
        <v>62</v>
      </c>
      <c r="Z5" s="16" t="s">
        <v>62</v>
      </c>
      <c r="AA5" s="16" t="s">
        <v>62</v>
      </c>
      <c r="AB5" s="16" t="s">
        <v>62</v>
      </c>
      <c r="AC5" s="16" t="s">
        <v>62</v>
      </c>
      <c r="AD5" s="16" t="s">
        <v>129</v>
      </c>
      <c r="AE5" s="16" t="s">
        <v>62</v>
      </c>
      <c r="AF5" s="16" t="s">
        <v>62</v>
      </c>
      <c r="AG5" s="16" t="s">
        <v>62</v>
      </c>
      <c r="AH5" s="16" t="s">
        <v>62</v>
      </c>
      <c r="AI5" s="16" t="s">
        <v>111</v>
      </c>
      <c r="AJ5" s="9" t="s">
        <v>62</v>
      </c>
      <c r="AK5" s="9" t="s">
        <v>62</v>
      </c>
      <c r="AL5" s="16" t="s">
        <v>62</v>
      </c>
      <c r="AM5" s="16" t="s">
        <v>62</v>
      </c>
      <c r="AN5" s="16" t="s">
        <v>62</v>
      </c>
      <c r="AO5" s="16" t="s">
        <v>62</v>
      </c>
      <c r="AP5" s="16" t="s">
        <v>62</v>
      </c>
      <c r="AQ5" s="16" t="s">
        <v>460</v>
      </c>
      <c r="AR5" s="16" t="s">
        <v>62</v>
      </c>
      <c r="AS5" s="16" t="s">
        <v>62</v>
      </c>
      <c r="AT5" s="16" t="s">
        <v>461</v>
      </c>
      <c r="AU5" s="9" t="s">
        <v>112</v>
      </c>
    </row>
    <row r="6" spans="1:48" s="17" customFormat="1">
      <c r="A6" s="17">
        <v>5</v>
      </c>
      <c r="B6" s="17" t="s">
        <v>116</v>
      </c>
      <c r="C6" s="17" t="s">
        <v>115</v>
      </c>
      <c r="D6" s="17" t="s">
        <v>114</v>
      </c>
      <c r="E6" s="17" t="s">
        <v>117</v>
      </c>
      <c r="F6" s="17">
        <v>2025</v>
      </c>
      <c r="L6" s="21"/>
      <c r="AV6" s="17" t="s">
        <v>118</v>
      </c>
    </row>
    <row r="7" spans="1:48">
      <c r="A7" s="16">
        <v>6</v>
      </c>
      <c r="B7" s="16" t="s">
        <v>119</v>
      </c>
      <c r="C7" s="16" t="s">
        <v>120</v>
      </c>
      <c r="D7" s="16" t="s">
        <v>121</v>
      </c>
      <c r="E7" s="16" t="s">
        <v>122</v>
      </c>
      <c r="F7" s="16">
        <v>2025</v>
      </c>
      <c r="G7" s="16" t="s">
        <v>124</v>
      </c>
      <c r="H7" s="16" t="s">
        <v>123</v>
      </c>
      <c r="I7" s="16" t="s">
        <v>99</v>
      </c>
      <c r="J7" s="16" t="s">
        <v>86</v>
      </c>
      <c r="K7" s="16" t="s">
        <v>100</v>
      </c>
      <c r="L7" s="16" t="s">
        <v>126</v>
      </c>
      <c r="M7" s="9" t="s">
        <v>125</v>
      </c>
      <c r="N7" s="16" t="s">
        <v>127</v>
      </c>
      <c r="O7" s="9" t="s">
        <v>544</v>
      </c>
      <c r="P7" s="22">
        <v>24422</v>
      </c>
      <c r="Q7" s="16" t="s">
        <v>106</v>
      </c>
      <c r="R7" s="9" t="s">
        <v>18</v>
      </c>
      <c r="S7" s="16" t="s">
        <v>128</v>
      </c>
      <c r="T7" s="16" t="s">
        <v>135</v>
      </c>
      <c r="U7" s="16" t="s">
        <v>62</v>
      </c>
      <c r="V7" s="16" t="s">
        <v>62</v>
      </c>
      <c r="W7" s="16" t="s">
        <v>62</v>
      </c>
      <c r="X7" s="16" t="s">
        <v>62</v>
      </c>
      <c r="Y7" s="16" t="s">
        <v>62</v>
      </c>
      <c r="Z7" s="16" t="s">
        <v>130</v>
      </c>
      <c r="AA7" s="16" t="s">
        <v>134</v>
      </c>
      <c r="AB7" s="16" t="s">
        <v>133</v>
      </c>
      <c r="AC7" s="16" t="s">
        <v>62</v>
      </c>
      <c r="AD7" s="16" t="s">
        <v>62</v>
      </c>
      <c r="AE7" s="16" t="s">
        <v>62</v>
      </c>
      <c r="AF7" s="16" t="s">
        <v>62</v>
      </c>
      <c r="AG7" s="16" t="s">
        <v>62</v>
      </c>
      <c r="AH7" s="16" t="s">
        <v>62</v>
      </c>
      <c r="AI7" s="16" t="s">
        <v>62</v>
      </c>
      <c r="AJ7" s="16" t="s">
        <v>62</v>
      </c>
      <c r="AK7" s="16" t="s">
        <v>62</v>
      </c>
      <c r="AL7" s="16" t="s">
        <v>89</v>
      </c>
      <c r="AM7" s="16" t="s">
        <v>131</v>
      </c>
      <c r="AN7" s="9" t="s">
        <v>62</v>
      </c>
      <c r="AO7" s="19" t="s">
        <v>132</v>
      </c>
      <c r="AP7" s="16" t="s">
        <v>62</v>
      </c>
      <c r="AQ7" s="16" t="s">
        <v>462</v>
      </c>
      <c r="AR7" s="16" t="s">
        <v>463</v>
      </c>
      <c r="AS7" s="16" t="s">
        <v>465</v>
      </c>
      <c r="AT7" s="16" t="s">
        <v>464</v>
      </c>
      <c r="AU7" s="9" t="s">
        <v>136</v>
      </c>
    </row>
    <row r="8" spans="1:48">
      <c r="A8" s="16">
        <v>7</v>
      </c>
      <c r="B8" s="16" t="s">
        <v>137</v>
      </c>
      <c r="C8" s="16" t="s">
        <v>138</v>
      </c>
      <c r="D8" s="16" t="s">
        <v>139</v>
      </c>
      <c r="E8" s="16" t="s">
        <v>140</v>
      </c>
      <c r="F8" s="16">
        <v>2025</v>
      </c>
      <c r="G8" s="16" t="s">
        <v>141</v>
      </c>
      <c r="H8" s="9" t="s">
        <v>142</v>
      </c>
      <c r="I8" s="16" t="s">
        <v>99</v>
      </c>
      <c r="J8" s="16" t="s">
        <v>86</v>
      </c>
      <c r="K8" s="16" t="s">
        <v>60</v>
      </c>
      <c r="L8" s="23" t="s">
        <v>145</v>
      </c>
      <c r="M8" s="9" t="s">
        <v>143</v>
      </c>
      <c r="N8" s="16" t="s">
        <v>147</v>
      </c>
      <c r="O8" s="16" t="s">
        <v>146</v>
      </c>
      <c r="P8" s="16">
        <v>257</v>
      </c>
      <c r="Q8" s="16" t="s">
        <v>148</v>
      </c>
      <c r="R8" s="9" t="s">
        <v>13</v>
      </c>
      <c r="S8" s="16" t="s">
        <v>149</v>
      </c>
      <c r="T8" s="16" t="s">
        <v>247</v>
      </c>
      <c r="U8" s="16" t="s">
        <v>150</v>
      </c>
      <c r="V8" s="16" t="s">
        <v>62</v>
      </c>
      <c r="W8" s="16" t="s">
        <v>62</v>
      </c>
      <c r="X8" s="16" t="s">
        <v>62</v>
      </c>
      <c r="Y8" s="16" t="s">
        <v>62</v>
      </c>
      <c r="Z8" s="16" t="s">
        <v>62</v>
      </c>
      <c r="AA8" s="16" t="s">
        <v>151</v>
      </c>
      <c r="AB8" s="16" t="s">
        <v>62</v>
      </c>
      <c r="AC8" s="16" t="s">
        <v>62</v>
      </c>
      <c r="AD8" s="9" t="s">
        <v>285</v>
      </c>
      <c r="AE8" s="16" t="s">
        <v>62</v>
      </c>
      <c r="AF8" s="16" t="s">
        <v>62</v>
      </c>
      <c r="AG8" s="16" t="s">
        <v>62</v>
      </c>
      <c r="AH8" s="16" t="s">
        <v>62</v>
      </c>
      <c r="AI8" s="9" t="s">
        <v>152</v>
      </c>
      <c r="AJ8" s="16" t="s">
        <v>153</v>
      </c>
      <c r="AK8" s="16" t="s">
        <v>62</v>
      </c>
      <c r="AL8" s="16" t="s">
        <v>154</v>
      </c>
      <c r="AM8" s="16" t="s">
        <v>155</v>
      </c>
      <c r="AN8" s="9" t="s">
        <v>62</v>
      </c>
      <c r="AO8" s="16" t="s">
        <v>156</v>
      </c>
      <c r="AP8" s="9" t="s">
        <v>62</v>
      </c>
      <c r="AQ8" s="9" t="s">
        <v>466</v>
      </c>
      <c r="AR8" s="9" t="s">
        <v>467</v>
      </c>
      <c r="AS8" s="9" t="s">
        <v>62</v>
      </c>
      <c r="AT8" s="9" t="s">
        <v>468</v>
      </c>
      <c r="AU8" s="16" t="s">
        <v>144</v>
      </c>
    </row>
    <row r="9" spans="1:48" ht="17" customHeight="1">
      <c r="A9" s="16">
        <v>8</v>
      </c>
      <c r="B9" s="16" t="s">
        <v>159</v>
      </c>
      <c r="C9" s="16" t="s">
        <v>158</v>
      </c>
      <c r="D9" s="16" t="s">
        <v>157</v>
      </c>
      <c r="E9" s="16" t="s">
        <v>160</v>
      </c>
      <c r="F9" s="16">
        <v>2025</v>
      </c>
      <c r="G9" s="16" t="s">
        <v>161</v>
      </c>
      <c r="H9" s="16" t="s">
        <v>162</v>
      </c>
      <c r="I9" s="16" t="s">
        <v>59</v>
      </c>
      <c r="J9" s="16" t="s">
        <v>86</v>
      </c>
      <c r="K9" s="16" t="s">
        <v>100</v>
      </c>
      <c r="L9" s="24" t="s">
        <v>169</v>
      </c>
      <c r="M9" s="16" t="s">
        <v>62</v>
      </c>
      <c r="N9" s="16" t="s">
        <v>168</v>
      </c>
      <c r="O9" s="9" t="s">
        <v>543</v>
      </c>
      <c r="P9" s="16">
        <v>158</v>
      </c>
      <c r="Q9" s="16" t="s">
        <v>148</v>
      </c>
      <c r="R9" s="16" t="s">
        <v>163</v>
      </c>
      <c r="S9" s="16" t="s">
        <v>62</v>
      </c>
      <c r="T9" s="16" t="s">
        <v>166</v>
      </c>
      <c r="U9" s="16" t="s">
        <v>62</v>
      </c>
      <c r="V9" s="16" t="s">
        <v>62</v>
      </c>
      <c r="W9" s="16" t="s">
        <v>164</v>
      </c>
      <c r="X9" s="16" t="s">
        <v>62</v>
      </c>
      <c r="Y9" s="16" t="s">
        <v>62</v>
      </c>
      <c r="Z9" s="16" t="s">
        <v>62</v>
      </c>
      <c r="AA9" s="16" t="s">
        <v>62</v>
      </c>
      <c r="AB9" s="9" t="s">
        <v>62</v>
      </c>
      <c r="AC9" s="9" t="s">
        <v>62</v>
      </c>
      <c r="AD9" s="9" t="s">
        <v>62</v>
      </c>
      <c r="AE9" s="16" t="s">
        <v>62</v>
      </c>
      <c r="AF9" s="9" t="s">
        <v>62</v>
      </c>
      <c r="AG9" s="9" t="s">
        <v>62</v>
      </c>
      <c r="AH9" s="9" t="s">
        <v>62</v>
      </c>
      <c r="AI9" s="9" t="s">
        <v>62</v>
      </c>
      <c r="AJ9" s="9" t="s">
        <v>62</v>
      </c>
      <c r="AK9" s="9" t="s">
        <v>62</v>
      </c>
      <c r="AL9" s="16" t="s">
        <v>165</v>
      </c>
      <c r="AM9" s="16" t="s">
        <v>62</v>
      </c>
      <c r="AN9" s="16" t="s">
        <v>62</v>
      </c>
      <c r="AO9" s="16" t="s">
        <v>62</v>
      </c>
      <c r="AP9" s="16" t="s">
        <v>62</v>
      </c>
      <c r="AQ9" s="16" t="s">
        <v>469</v>
      </c>
      <c r="AR9" s="9" t="s">
        <v>62</v>
      </c>
      <c r="AS9" s="9" t="s">
        <v>62</v>
      </c>
      <c r="AT9" s="9" t="s">
        <v>62</v>
      </c>
      <c r="AU9" s="16" t="s">
        <v>167</v>
      </c>
    </row>
    <row r="10" spans="1:48">
      <c r="A10" s="16">
        <v>13</v>
      </c>
      <c r="B10" s="16" t="s">
        <v>470</v>
      </c>
      <c r="C10" s="16" t="s">
        <v>173</v>
      </c>
      <c r="D10" s="16" t="s">
        <v>174</v>
      </c>
      <c r="F10" s="16">
        <v>2025</v>
      </c>
      <c r="G10" s="16" t="s">
        <v>176</v>
      </c>
      <c r="H10" s="16" t="s">
        <v>474</v>
      </c>
      <c r="I10" s="16" t="s">
        <v>99</v>
      </c>
      <c r="K10" s="16" t="s">
        <v>60</v>
      </c>
      <c r="L10" s="16" t="s">
        <v>471</v>
      </c>
      <c r="M10" s="16" t="s">
        <v>62</v>
      </c>
      <c r="N10" s="9" t="s">
        <v>475</v>
      </c>
      <c r="O10" s="16" t="s">
        <v>476</v>
      </c>
      <c r="P10" s="16">
        <v>658</v>
      </c>
      <c r="Q10" s="16" t="s">
        <v>477</v>
      </c>
      <c r="R10" s="16" t="s">
        <v>472</v>
      </c>
      <c r="S10" s="16" t="s">
        <v>473</v>
      </c>
      <c r="T10" s="16" t="s">
        <v>478</v>
      </c>
      <c r="U10" s="16" t="s">
        <v>479</v>
      </c>
      <c r="V10" s="16" t="s">
        <v>62</v>
      </c>
      <c r="W10" s="16" t="s">
        <v>62</v>
      </c>
      <c r="X10" s="16" t="s">
        <v>62</v>
      </c>
      <c r="Y10" s="16" t="s">
        <v>480</v>
      </c>
      <c r="Z10" s="16" t="s">
        <v>481</v>
      </c>
      <c r="AA10" s="16" t="s">
        <v>484</v>
      </c>
      <c r="AB10" s="9" t="s">
        <v>483</v>
      </c>
      <c r="AC10" s="16" t="s">
        <v>482</v>
      </c>
      <c r="AD10" s="16" t="s">
        <v>485</v>
      </c>
      <c r="AE10" s="16" t="s">
        <v>486</v>
      </c>
      <c r="AF10" s="16" t="s">
        <v>487</v>
      </c>
      <c r="AG10" s="16" t="s">
        <v>62</v>
      </c>
      <c r="AH10" s="16" t="s">
        <v>488</v>
      </c>
      <c r="AI10" s="16" t="s">
        <v>489</v>
      </c>
      <c r="AJ10" s="16" t="s">
        <v>490</v>
      </c>
      <c r="AK10" s="16" t="s">
        <v>62</v>
      </c>
      <c r="AL10" s="16" t="s">
        <v>491</v>
      </c>
      <c r="AM10" s="16" t="s">
        <v>493</v>
      </c>
      <c r="AN10" s="16" t="s">
        <v>494</v>
      </c>
      <c r="AO10" s="16" t="s">
        <v>495</v>
      </c>
      <c r="AP10" s="16" t="s">
        <v>62</v>
      </c>
      <c r="AQ10" s="16" t="s">
        <v>496</v>
      </c>
      <c r="AR10" s="16" t="s">
        <v>62</v>
      </c>
      <c r="AS10" s="16" t="s">
        <v>62</v>
      </c>
      <c r="AT10" s="16" t="s">
        <v>497</v>
      </c>
      <c r="AU10" s="16" t="s">
        <v>498</v>
      </c>
      <c r="AV10" s="16" t="s">
        <v>492</v>
      </c>
    </row>
    <row r="11" spans="1:48">
      <c r="A11" s="16">
        <v>14</v>
      </c>
      <c r="B11" s="16" t="s">
        <v>201</v>
      </c>
      <c r="C11" s="16" t="s">
        <v>202</v>
      </c>
      <c r="D11" s="16" t="s">
        <v>203</v>
      </c>
      <c r="E11" s="16" t="s">
        <v>204</v>
      </c>
      <c r="F11" s="16">
        <v>2024</v>
      </c>
      <c r="G11" s="16" t="s">
        <v>205</v>
      </c>
      <c r="H11" s="16" t="s">
        <v>206</v>
      </c>
      <c r="I11" s="16" t="s">
        <v>59</v>
      </c>
      <c r="J11" s="16" t="s">
        <v>86</v>
      </c>
      <c r="L11" s="16" t="s">
        <v>207</v>
      </c>
      <c r="M11" s="16" t="s">
        <v>62</v>
      </c>
      <c r="N11" s="16" t="s">
        <v>208</v>
      </c>
      <c r="O11" s="9" t="s">
        <v>284</v>
      </c>
      <c r="P11" s="16">
        <v>129</v>
      </c>
      <c r="Q11" s="16" t="s">
        <v>209</v>
      </c>
      <c r="R11" s="16" t="s">
        <v>210</v>
      </c>
      <c r="S11" s="16" t="s">
        <v>211</v>
      </c>
      <c r="T11" s="16" t="s">
        <v>62</v>
      </c>
      <c r="U11" s="16" t="s">
        <v>62</v>
      </c>
      <c r="V11" s="16" t="s">
        <v>62</v>
      </c>
      <c r="W11" s="16" t="s">
        <v>212</v>
      </c>
      <c r="X11" s="16" t="s">
        <v>62</v>
      </c>
      <c r="Y11" s="16" t="s">
        <v>62</v>
      </c>
      <c r="Z11" s="16" t="s">
        <v>62</v>
      </c>
      <c r="AA11" s="16" t="s">
        <v>62</v>
      </c>
      <c r="AB11" s="16" t="s">
        <v>62</v>
      </c>
      <c r="AC11" s="16" t="s">
        <v>62</v>
      </c>
      <c r="AD11" s="16" t="s">
        <v>62</v>
      </c>
      <c r="AE11" s="16" t="s">
        <v>62</v>
      </c>
      <c r="AF11" s="16" t="s">
        <v>62</v>
      </c>
      <c r="AG11" s="16" t="s">
        <v>62</v>
      </c>
      <c r="AH11" s="16" t="s">
        <v>62</v>
      </c>
      <c r="AI11" s="16" t="s">
        <v>62</v>
      </c>
      <c r="AJ11" s="16" t="s">
        <v>62</v>
      </c>
      <c r="AK11" s="16" t="s">
        <v>62</v>
      </c>
      <c r="AL11" s="16" t="s">
        <v>62</v>
      </c>
      <c r="AM11" s="16" t="s">
        <v>62</v>
      </c>
      <c r="AN11" s="16" t="s">
        <v>62</v>
      </c>
      <c r="AO11" s="16" t="s">
        <v>62</v>
      </c>
      <c r="AP11" s="16" t="s">
        <v>62</v>
      </c>
      <c r="AQ11" s="16" t="s">
        <v>499</v>
      </c>
      <c r="AR11" s="16" t="s">
        <v>62</v>
      </c>
      <c r="AS11" s="16" t="s">
        <v>62</v>
      </c>
      <c r="AT11" s="16" t="s">
        <v>62</v>
      </c>
      <c r="AU11" s="16" t="s">
        <v>213</v>
      </c>
      <c r="AV11" s="25" t="s">
        <v>427</v>
      </c>
    </row>
    <row r="12" spans="1:48">
      <c r="A12" s="16">
        <v>17</v>
      </c>
      <c r="B12" s="16" t="s">
        <v>214</v>
      </c>
      <c r="C12" s="16" t="s">
        <v>215</v>
      </c>
      <c r="D12" s="16" t="s">
        <v>216</v>
      </c>
      <c r="E12" s="16" t="s">
        <v>217</v>
      </c>
      <c r="F12" s="16">
        <v>2024</v>
      </c>
      <c r="G12" s="16" t="s">
        <v>219</v>
      </c>
      <c r="H12" s="16" t="s">
        <v>218</v>
      </c>
      <c r="I12" s="16" t="s">
        <v>99</v>
      </c>
      <c r="J12" s="16" t="s">
        <v>220</v>
      </c>
      <c r="K12" s="16" t="s">
        <v>100</v>
      </c>
      <c r="L12" s="16" t="s">
        <v>229</v>
      </c>
      <c r="M12" s="9" t="s">
        <v>230</v>
      </c>
      <c r="N12" s="16" t="s">
        <v>500</v>
      </c>
      <c r="O12" s="9" t="s">
        <v>542</v>
      </c>
      <c r="P12" s="16">
        <v>108</v>
      </c>
      <c r="Q12" s="16" t="s">
        <v>221</v>
      </c>
      <c r="R12" s="9" t="s">
        <v>222</v>
      </c>
      <c r="S12" s="16" t="s">
        <v>223</v>
      </c>
      <c r="T12" s="16" t="s">
        <v>246</v>
      </c>
      <c r="U12" s="16" t="s">
        <v>62</v>
      </c>
      <c r="V12" s="16" t="s">
        <v>62</v>
      </c>
      <c r="W12" s="16" t="s">
        <v>62</v>
      </c>
      <c r="X12" s="16" t="s">
        <v>62</v>
      </c>
      <c r="Y12" s="16" t="s">
        <v>62</v>
      </c>
      <c r="Z12" s="16" t="s">
        <v>224</v>
      </c>
      <c r="AA12" s="16" t="s">
        <v>62</v>
      </c>
      <c r="AB12" s="16" t="s">
        <v>62</v>
      </c>
      <c r="AC12" s="16" t="s">
        <v>62</v>
      </c>
      <c r="AD12" s="16" t="s">
        <v>225</v>
      </c>
      <c r="AE12" s="9" t="s">
        <v>62</v>
      </c>
      <c r="AF12" s="9" t="s">
        <v>62</v>
      </c>
      <c r="AG12" s="9" t="s">
        <v>62</v>
      </c>
      <c r="AH12" s="16" t="s">
        <v>226</v>
      </c>
      <c r="AI12" s="9" t="s">
        <v>62</v>
      </c>
      <c r="AJ12" s="9" t="s">
        <v>62</v>
      </c>
      <c r="AK12" s="16" t="s">
        <v>227</v>
      </c>
      <c r="AL12" s="16" t="s">
        <v>231</v>
      </c>
      <c r="AM12" s="16" t="s">
        <v>234</v>
      </c>
      <c r="AN12" s="16" t="s">
        <v>232</v>
      </c>
      <c r="AO12" s="16" t="s">
        <v>233</v>
      </c>
      <c r="AP12" s="16" t="s">
        <v>232</v>
      </c>
      <c r="AQ12" s="16" t="s">
        <v>501</v>
      </c>
      <c r="AR12" s="16" t="s">
        <v>502</v>
      </c>
      <c r="AS12" s="16" t="s">
        <v>503</v>
      </c>
      <c r="AT12" s="16" t="s">
        <v>504</v>
      </c>
      <c r="AU12" s="16" t="s">
        <v>228</v>
      </c>
    </row>
    <row r="13" spans="1:48">
      <c r="A13" s="16">
        <v>18</v>
      </c>
      <c r="B13" s="16" t="s">
        <v>235</v>
      </c>
      <c r="C13" s="16" t="s">
        <v>236</v>
      </c>
      <c r="D13" s="16" t="s">
        <v>237</v>
      </c>
      <c r="E13" s="16" t="s">
        <v>238</v>
      </c>
      <c r="F13" s="16">
        <v>2024</v>
      </c>
      <c r="G13" s="16" t="s">
        <v>239</v>
      </c>
      <c r="H13" s="16" t="s">
        <v>123</v>
      </c>
      <c r="I13" s="16" t="s">
        <v>99</v>
      </c>
      <c r="J13" s="16" t="s">
        <v>86</v>
      </c>
      <c r="K13" s="16" t="s">
        <v>100</v>
      </c>
      <c r="L13" s="16" t="s">
        <v>241</v>
      </c>
      <c r="M13" s="9" t="s">
        <v>240</v>
      </c>
      <c r="N13" s="9" t="s">
        <v>242</v>
      </c>
      <c r="O13" s="9" t="s">
        <v>284</v>
      </c>
      <c r="P13" s="16">
        <v>72107</v>
      </c>
      <c r="Q13" s="16" t="s">
        <v>243</v>
      </c>
      <c r="R13" s="9" t="s">
        <v>244</v>
      </c>
      <c r="S13" s="16" t="s">
        <v>245</v>
      </c>
      <c r="T13" s="16" t="s">
        <v>248</v>
      </c>
      <c r="U13" s="16" t="s">
        <v>62</v>
      </c>
      <c r="V13" s="16" t="s">
        <v>62</v>
      </c>
      <c r="W13" s="16" t="s">
        <v>62</v>
      </c>
      <c r="X13" s="16" t="s">
        <v>62</v>
      </c>
      <c r="Y13" s="16" t="s">
        <v>62</v>
      </c>
      <c r="Z13" s="16" t="s">
        <v>249</v>
      </c>
      <c r="AA13" s="16" t="s">
        <v>251</v>
      </c>
      <c r="AB13" s="16" t="s">
        <v>250</v>
      </c>
      <c r="AC13" s="16" t="s">
        <v>62</v>
      </c>
      <c r="AD13" s="16" t="s">
        <v>252</v>
      </c>
      <c r="AE13" s="16" t="s">
        <v>62</v>
      </c>
      <c r="AF13" s="16" t="s">
        <v>253</v>
      </c>
      <c r="AG13" s="16" t="s">
        <v>254</v>
      </c>
      <c r="AH13" s="16" t="s">
        <v>255</v>
      </c>
      <c r="AI13" s="9" t="s">
        <v>62</v>
      </c>
      <c r="AJ13" s="16" t="s">
        <v>256</v>
      </c>
      <c r="AK13" s="16" t="s">
        <v>257</v>
      </c>
      <c r="AL13" s="16" t="s">
        <v>258</v>
      </c>
      <c r="AM13" s="16" t="s">
        <v>62</v>
      </c>
      <c r="AN13" s="16" t="s">
        <v>62</v>
      </c>
      <c r="AO13" s="16" t="s">
        <v>62</v>
      </c>
      <c r="AP13" s="16" t="s">
        <v>62</v>
      </c>
      <c r="AQ13" s="16" t="s">
        <v>505</v>
      </c>
      <c r="AR13" s="16" t="s">
        <v>506</v>
      </c>
      <c r="AS13" s="16" t="s">
        <v>62</v>
      </c>
      <c r="AT13" s="16" t="s">
        <v>507</v>
      </c>
      <c r="AU13" s="16" t="s">
        <v>228</v>
      </c>
    </row>
    <row r="14" spans="1:48" ht="18" customHeight="1">
      <c r="A14" s="16">
        <v>19</v>
      </c>
      <c r="B14" s="16" t="s">
        <v>259</v>
      </c>
      <c r="C14" s="16" t="s">
        <v>260</v>
      </c>
      <c r="D14" s="16" t="s">
        <v>261</v>
      </c>
      <c r="E14" s="16" t="s">
        <v>262</v>
      </c>
      <c r="F14" s="16">
        <v>2024</v>
      </c>
      <c r="G14" s="16" t="s">
        <v>263</v>
      </c>
      <c r="H14" s="16" t="s">
        <v>162</v>
      </c>
      <c r="I14" s="16" t="s">
        <v>59</v>
      </c>
      <c r="J14" s="16" t="s">
        <v>61</v>
      </c>
      <c r="K14" s="16" t="s">
        <v>100</v>
      </c>
      <c r="L14" s="16" t="s">
        <v>264</v>
      </c>
      <c r="M14" s="16" t="s">
        <v>62</v>
      </c>
      <c r="N14" s="24" t="s">
        <v>265</v>
      </c>
      <c r="O14" s="9" t="s">
        <v>541</v>
      </c>
      <c r="P14" s="16">
        <v>230</v>
      </c>
      <c r="Q14" s="16" t="s">
        <v>62</v>
      </c>
      <c r="R14" s="16" t="s">
        <v>266</v>
      </c>
      <c r="S14" s="16" t="s">
        <v>267</v>
      </c>
      <c r="T14" s="16" t="s">
        <v>62</v>
      </c>
      <c r="U14" s="16" t="s">
        <v>62</v>
      </c>
      <c r="V14" s="16" t="s">
        <v>268</v>
      </c>
      <c r="W14" s="16" t="s">
        <v>269</v>
      </c>
      <c r="X14" s="16" t="s">
        <v>62</v>
      </c>
      <c r="Y14" s="16" t="s">
        <v>270</v>
      </c>
      <c r="Z14" s="16" t="s">
        <v>62</v>
      </c>
      <c r="AA14" s="16" t="s">
        <v>271</v>
      </c>
      <c r="AB14" s="16" t="s">
        <v>62</v>
      </c>
      <c r="AC14" s="16" t="s">
        <v>62</v>
      </c>
      <c r="AD14" s="16" t="s">
        <v>272</v>
      </c>
      <c r="AE14" s="16" t="s">
        <v>273</v>
      </c>
      <c r="AF14" s="16" t="s">
        <v>62</v>
      </c>
      <c r="AG14" s="16" t="s">
        <v>275</v>
      </c>
      <c r="AH14" s="16" t="s">
        <v>276</v>
      </c>
      <c r="AI14" s="16" t="s">
        <v>274</v>
      </c>
      <c r="AJ14" s="16" t="s">
        <v>62</v>
      </c>
      <c r="AK14" s="16" t="s">
        <v>62</v>
      </c>
      <c r="AL14" s="16" t="s">
        <v>62</v>
      </c>
      <c r="AM14" s="16" t="s">
        <v>62</v>
      </c>
      <c r="AN14" s="16" t="s">
        <v>62</v>
      </c>
      <c r="AO14" s="16" t="s">
        <v>62</v>
      </c>
      <c r="AP14" s="16" t="s">
        <v>62</v>
      </c>
      <c r="AQ14" s="16" t="s">
        <v>508</v>
      </c>
      <c r="AR14" s="16" t="s">
        <v>62</v>
      </c>
      <c r="AS14" s="16" t="s">
        <v>62</v>
      </c>
      <c r="AT14" s="16" t="s">
        <v>62</v>
      </c>
      <c r="AU14" s="16" t="s">
        <v>228</v>
      </c>
    </row>
    <row r="15" spans="1:48">
      <c r="A15" s="16">
        <v>22</v>
      </c>
      <c r="B15" s="16" t="s">
        <v>277</v>
      </c>
      <c r="C15" s="16" t="s">
        <v>278</v>
      </c>
      <c r="D15" s="16" t="s">
        <v>279</v>
      </c>
      <c r="E15" s="16" t="s">
        <v>280</v>
      </c>
      <c r="F15" s="16">
        <v>2024</v>
      </c>
      <c r="G15" s="16" t="s">
        <v>281</v>
      </c>
      <c r="H15" s="16" t="s">
        <v>282</v>
      </c>
      <c r="I15" s="16" t="s">
        <v>59</v>
      </c>
      <c r="J15" s="16" t="s">
        <v>86</v>
      </c>
      <c r="K15" s="16" t="s">
        <v>100</v>
      </c>
      <c r="L15" s="16" t="s">
        <v>294</v>
      </c>
      <c r="M15" s="16" t="s">
        <v>62</v>
      </c>
      <c r="N15" s="16" t="s">
        <v>286</v>
      </c>
      <c r="O15" s="16" t="s">
        <v>284</v>
      </c>
      <c r="P15" s="16">
        <v>778</v>
      </c>
      <c r="Q15" s="16" t="s">
        <v>62</v>
      </c>
      <c r="R15" s="9" t="s">
        <v>287</v>
      </c>
      <c r="S15" s="16" t="s">
        <v>288</v>
      </c>
      <c r="T15" s="16" t="s">
        <v>296</v>
      </c>
      <c r="U15" s="16" t="s">
        <v>62</v>
      </c>
      <c r="V15" s="16" t="s">
        <v>62</v>
      </c>
      <c r="W15" s="16" t="s">
        <v>289</v>
      </c>
      <c r="X15" s="16" t="s">
        <v>62</v>
      </c>
      <c r="Y15" s="16" t="s">
        <v>62</v>
      </c>
      <c r="Z15" s="16" t="s">
        <v>290</v>
      </c>
      <c r="AA15" s="16" t="s">
        <v>62</v>
      </c>
      <c r="AB15" s="16" t="s">
        <v>62</v>
      </c>
      <c r="AC15" s="16" t="s">
        <v>62</v>
      </c>
      <c r="AD15" s="16" t="s">
        <v>291</v>
      </c>
      <c r="AE15" s="16" t="s">
        <v>62</v>
      </c>
      <c r="AF15" s="16" t="s">
        <v>292</v>
      </c>
      <c r="AG15" s="16" t="s">
        <v>62</v>
      </c>
      <c r="AH15" s="16" t="s">
        <v>293</v>
      </c>
      <c r="AI15" s="16" t="s">
        <v>62</v>
      </c>
      <c r="AJ15" s="16" t="s">
        <v>295</v>
      </c>
      <c r="AK15" s="16" t="s">
        <v>62</v>
      </c>
      <c r="AL15" s="16" t="s">
        <v>62</v>
      </c>
      <c r="AM15" s="16" t="s">
        <v>62</v>
      </c>
      <c r="AN15" s="16" t="s">
        <v>62</v>
      </c>
      <c r="AO15" s="16" t="s">
        <v>62</v>
      </c>
      <c r="AP15" s="16" t="s">
        <v>62</v>
      </c>
      <c r="AQ15" s="16" t="s">
        <v>509</v>
      </c>
      <c r="AR15" s="16" t="s">
        <v>514</v>
      </c>
      <c r="AS15" s="16" t="s">
        <v>510</v>
      </c>
      <c r="AT15" s="16" t="s">
        <v>511</v>
      </c>
      <c r="AU15" s="16" t="s">
        <v>283</v>
      </c>
    </row>
    <row r="16" spans="1:48">
      <c r="A16" s="16">
        <v>25</v>
      </c>
      <c r="B16" s="16" t="s">
        <v>298</v>
      </c>
      <c r="C16" s="16" t="s">
        <v>297</v>
      </c>
      <c r="D16" s="16" t="s">
        <v>299</v>
      </c>
      <c r="E16" s="16" t="s">
        <v>300</v>
      </c>
      <c r="F16" s="16">
        <v>2023</v>
      </c>
      <c r="G16" s="16" t="s">
        <v>301</v>
      </c>
      <c r="H16" s="16" t="s">
        <v>303</v>
      </c>
      <c r="I16" s="16" t="s">
        <v>99</v>
      </c>
      <c r="J16" s="16" t="s">
        <v>86</v>
      </c>
      <c r="K16" s="16" t="s">
        <v>60</v>
      </c>
      <c r="L16" s="16" t="s">
        <v>315</v>
      </c>
      <c r="M16" s="16" t="s">
        <v>62</v>
      </c>
      <c r="N16" s="16" t="s">
        <v>302</v>
      </c>
      <c r="O16" s="16" t="s">
        <v>540</v>
      </c>
      <c r="P16" s="16" t="s">
        <v>307</v>
      </c>
      <c r="Q16" s="16" t="s">
        <v>316</v>
      </c>
      <c r="R16" s="16" t="s">
        <v>304</v>
      </c>
      <c r="S16" s="16" t="s">
        <v>305</v>
      </c>
      <c r="T16" s="16" t="s">
        <v>317</v>
      </c>
      <c r="U16" s="16" t="s">
        <v>62</v>
      </c>
      <c r="V16" s="16" t="s">
        <v>62</v>
      </c>
      <c r="W16" s="16" t="s">
        <v>306</v>
      </c>
      <c r="X16" s="16" t="s">
        <v>62</v>
      </c>
      <c r="Y16" s="16" t="s">
        <v>62</v>
      </c>
      <c r="Z16" s="16" t="s">
        <v>62</v>
      </c>
      <c r="AA16" s="16" t="s">
        <v>62</v>
      </c>
      <c r="AB16" s="16" t="s">
        <v>308</v>
      </c>
      <c r="AC16" s="16" t="s">
        <v>62</v>
      </c>
      <c r="AD16" s="16" t="s">
        <v>309</v>
      </c>
      <c r="AE16" s="16" t="s">
        <v>62</v>
      </c>
      <c r="AF16" s="16" t="s">
        <v>62</v>
      </c>
      <c r="AG16" s="16" t="s">
        <v>62</v>
      </c>
      <c r="AH16" s="16" t="s">
        <v>313</v>
      </c>
      <c r="AI16" s="16" t="s">
        <v>310</v>
      </c>
      <c r="AJ16" s="16" t="s">
        <v>62</v>
      </c>
      <c r="AK16" s="16" t="s">
        <v>311</v>
      </c>
      <c r="AL16" s="16" t="s">
        <v>312</v>
      </c>
      <c r="AM16" s="16" t="s">
        <v>312</v>
      </c>
      <c r="AN16" s="16" t="s">
        <v>62</v>
      </c>
      <c r="AO16" s="16" t="s">
        <v>62</v>
      </c>
      <c r="AP16" s="16" t="s">
        <v>62</v>
      </c>
      <c r="AQ16" s="16" t="s">
        <v>512</v>
      </c>
      <c r="AR16" s="16" t="s">
        <v>513</v>
      </c>
      <c r="AS16" s="16" t="s">
        <v>515</v>
      </c>
      <c r="AT16" s="9" t="s">
        <v>516</v>
      </c>
      <c r="AU16" s="16" t="s">
        <v>314</v>
      </c>
    </row>
    <row r="17" spans="1:48" ht="18" customHeight="1">
      <c r="A17" s="16">
        <v>26</v>
      </c>
      <c r="B17" s="16" t="s">
        <v>318</v>
      </c>
      <c r="C17" s="16" t="s">
        <v>319</v>
      </c>
      <c r="D17" s="16" t="s">
        <v>320</v>
      </c>
      <c r="E17" s="16" t="s">
        <v>217</v>
      </c>
      <c r="F17" s="16">
        <v>2023</v>
      </c>
      <c r="G17" s="16" t="s">
        <v>321</v>
      </c>
      <c r="H17" s="16" t="s">
        <v>218</v>
      </c>
      <c r="I17" s="16" t="s">
        <v>59</v>
      </c>
      <c r="J17" s="16" t="s">
        <v>86</v>
      </c>
      <c r="K17" s="16" t="s">
        <v>100</v>
      </c>
      <c r="L17" s="24" t="s">
        <v>329</v>
      </c>
      <c r="M17" s="16" t="s">
        <v>62</v>
      </c>
      <c r="N17" s="16" t="s">
        <v>330</v>
      </c>
      <c r="O17" s="16" t="s">
        <v>539</v>
      </c>
      <c r="P17" s="16">
        <v>262</v>
      </c>
      <c r="Q17" s="16" t="s">
        <v>337</v>
      </c>
      <c r="R17" s="9" t="s">
        <v>322</v>
      </c>
      <c r="S17" s="16" t="s">
        <v>331</v>
      </c>
      <c r="T17" s="16" t="s">
        <v>335</v>
      </c>
      <c r="U17" s="9" t="s">
        <v>323</v>
      </c>
      <c r="V17" s="16" t="s">
        <v>62</v>
      </c>
      <c r="W17" s="9" t="s">
        <v>332</v>
      </c>
      <c r="X17" s="16" t="s">
        <v>62</v>
      </c>
      <c r="Y17" s="9" t="s">
        <v>333</v>
      </c>
      <c r="Z17" s="16" t="s">
        <v>324</v>
      </c>
      <c r="AA17" s="9" t="s">
        <v>338</v>
      </c>
      <c r="AB17" s="16" t="s">
        <v>62</v>
      </c>
      <c r="AC17" s="9" t="s">
        <v>62</v>
      </c>
      <c r="AD17" s="9" t="s">
        <v>325</v>
      </c>
      <c r="AE17" s="9" t="s">
        <v>62</v>
      </c>
      <c r="AF17" s="9" t="s">
        <v>62</v>
      </c>
      <c r="AG17" s="9" t="s">
        <v>326</v>
      </c>
      <c r="AH17" s="16" t="s">
        <v>327</v>
      </c>
      <c r="AI17" s="9" t="s">
        <v>328</v>
      </c>
      <c r="AJ17" s="9" t="s">
        <v>62</v>
      </c>
      <c r="AK17" s="9" t="s">
        <v>334</v>
      </c>
      <c r="AL17" s="9" t="s">
        <v>336</v>
      </c>
      <c r="AM17" s="9" t="s">
        <v>339</v>
      </c>
      <c r="AN17" s="9" t="s">
        <v>62</v>
      </c>
      <c r="AO17" s="9" t="s">
        <v>62</v>
      </c>
      <c r="AP17" s="9" t="s">
        <v>341</v>
      </c>
      <c r="AQ17" s="9" t="s">
        <v>517</v>
      </c>
      <c r="AR17" s="9" t="s">
        <v>520</v>
      </c>
      <c r="AS17" s="9" t="s">
        <v>518</v>
      </c>
      <c r="AT17" s="9" t="s">
        <v>519</v>
      </c>
      <c r="AU17" s="9" t="s">
        <v>340</v>
      </c>
    </row>
    <row r="18" spans="1:48">
      <c r="A18" s="16">
        <v>30</v>
      </c>
      <c r="B18" s="16" t="s">
        <v>342</v>
      </c>
      <c r="C18" s="16" t="s">
        <v>343</v>
      </c>
      <c r="D18" s="16" t="s">
        <v>344</v>
      </c>
      <c r="E18" s="16" t="s">
        <v>345</v>
      </c>
      <c r="F18" s="16">
        <v>2023</v>
      </c>
      <c r="G18" s="16" t="s">
        <v>205</v>
      </c>
      <c r="H18" s="16" t="s">
        <v>98</v>
      </c>
      <c r="I18" s="16" t="s">
        <v>59</v>
      </c>
      <c r="J18" s="16" t="s">
        <v>86</v>
      </c>
      <c r="K18" s="16" t="s">
        <v>100</v>
      </c>
      <c r="L18" s="16" t="s">
        <v>356</v>
      </c>
      <c r="M18" s="16" t="s">
        <v>62</v>
      </c>
      <c r="N18" s="16" t="s">
        <v>346</v>
      </c>
      <c r="O18" s="16" t="s">
        <v>538</v>
      </c>
      <c r="P18" s="16">
        <v>393</v>
      </c>
      <c r="Q18" s="16" t="s">
        <v>171</v>
      </c>
      <c r="R18" s="16" t="s">
        <v>13</v>
      </c>
      <c r="S18" s="16" t="s">
        <v>347</v>
      </c>
      <c r="T18" s="16" t="s">
        <v>355</v>
      </c>
      <c r="U18" s="16" t="s">
        <v>348</v>
      </c>
      <c r="V18" s="16" t="s">
        <v>62</v>
      </c>
      <c r="W18" s="16" t="s">
        <v>62</v>
      </c>
      <c r="X18" s="16" t="s">
        <v>62</v>
      </c>
      <c r="Y18" s="16" t="s">
        <v>62</v>
      </c>
      <c r="Z18" s="16" t="s">
        <v>62</v>
      </c>
      <c r="AA18" s="9" t="s">
        <v>392</v>
      </c>
      <c r="AB18" s="16" t="s">
        <v>62</v>
      </c>
      <c r="AC18" s="16" t="s">
        <v>62</v>
      </c>
      <c r="AD18" s="16" t="s">
        <v>354</v>
      </c>
      <c r="AE18" s="16" t="s">
        <v>62</v>
      </c>
      <c r="AF18" s="16" t="s">
        <v>62</v>
      </c>
      <c r="AG18" s="16" t="s">
        <v>62</v>
      </c>
      <c r="AH18" s="16" t="s">
        <v>62</v>
      </c>
      <c r="AI18" s="16" t="s">
        <v>62</v>
      </c>
      <c r="AJ18" s="16" t="s">
        <v>62</v>
      </c>
      <c r="AK18" s="16" t="s">
        <v>62</v>
      </c>
      <c r="AL18" s="16" t="s">
        <v>350</v>
      </c>
      <c r="AM18" s="16" t="s">
        <v>351</v>
      </c>
      <c r="AN18" s="16" t="s">
        <v>352</v>
      </c>
      <c r="AO18" s="16" t="s">
        <v>353</v>
      </c>
      <c r="AP18" s="16" t="s">
        <v>62</v>
      </c>
      <c r="AQ18" s="16" t="s">
        <v>521</v>
      </c>
      <c r="AR18" s="16" t="s">
        <v>522</v>
      </c>
      <c r="AS18" s="16" t="s">
        <v>62</v>
      </c>
      <c r="AT18" s="16" t="s">
        <v>523</v>
      </c>
      <c r="AU18" s="16" t="s">
        <v>349</v>
      </c>
    </row>
    <row r="19" spans="1:48">
      <c r="A19" s="16">
        <v>31</v>
      </c>
      <c r="B19" s="16" t="s">
        <v>358</v>
      </c>
      <c r="C19" s="16" t="s">
        <v>359</v>
      </c>
      <c r="D19" s="16" t="s">
        <v>357</v>
      </c>
      <c r="E19" s="16" t="s">
        <v>360</v>
      </c>
      <c r="F19" s="16">
        <v>2023</v>
      </c>
      <c r="G19" s="16" t="s">
        <v>361</v>
      </c>
      <c r="H19" s="16" t="s">
        <v>98</v>
      </c>
      <c r="I19" s="16" t="s">
        <v>59</v>
      </c>
      <c r="J19" s="16" t="s">
        <v>86</v>
      </c>
      <c r="K19" s="16" t="s">
        <v>100</v>
      </c>
      <c r="L19" s="16" t="s">
        <v>362</v>
      </c>
      <c r="M19" s="16" t="s">
        <v>62</v>
      </c>
      <c r="N19" s="16" t="s">
        <v>363</v>
      </c>
      <c r="O19" s="16" t="s">
        <v>537</v>
      </c>
      <c r="P19" s="16">
        <v>2275</v>
      </c>
      <c r="Q19" s="16" t="s">
        <v>368</v>
      </c>
      <c r="R19" s="16" t="s">
        <v>18</v>
      </c>
      <c r="S19" s="16" t="s">
        <v>13</v>
      </c>
      <c r="T19" s="16" t="s">
        <v>365</v>
      </c>
      <c r="U19" s="16" t="s">
        <v>366</v>
      </c>
      <c r="V19" s="16" t="s">
        <v>62</v>
      </c>
      <c r="W19" s="16" t="s">
        <v>62</v>
      </c>
      <c r="X19" s="16" t="s">
        <v>62</v>
      </c>
      <c r="Y19" s="16" t="s">
        <v>62</v>
      </c>
      <c r="Z19" s="16" t="s">
        <v>364</v>
      </c>
      <c r="AA19" s="16" t="s">
        <v>62</v>
      </c>
      <c r="AB19" s="9" t="s">
        <v>62</v>
      </c>
      <c r="AC19" s="9" t="s">
        <v>62</v>
      </c>
      <c r="AD19" s="9" t="s">
        <v>62</v>
      </c>
      <c r="AE19" s="9" t="s">
        <v>62</v>
      </c>
      <c r="AF19" s="9" t="s">
        <v>62</v>
      </c>
      <c r="AG19" s="9" t="s">
        <v>62</v>
      </c>
      <c r="AH19" s="16" t="s">
        <v>367</v>
      </c>
      <c r="AI19" s="9" t="s">
        <v>62</v>
      </c>
      <c r="AJ19" s="9" t="s">
        <v>62</v>
      </c>
      <c r="AK19" s="9" t="s">
        <v>62</v>
      </c>
      <c r="AL19" s="9" t="s">
        <v>62</v>
      </c>
      <c r="AM19" s="9" t="s">
        <v>62</v>
      </c>
      <c r="AN19" s="9" t="s">
        <v>62</v>
      </c>
      <c r="AO19" s="9" t="s">
        <v>62</v>
      </c>
      <c r="AP19" s="9" t="s">
        <v>62</v>
      </c>
      <c r="AQ19" s="29" t="s">
        <v>524</v>
      </c>
      <c r="AR19" s="9" t="s">
        <v>525</v>
      </c>
      <c r="AS19" s="9" t="s">
        <v>62</v>
      </c>
      <c r="AT19" s="9" t="s">
        <v>526</v>
      </c>
      <c r="AU19" s="9" t="s">
        <v>369</v>
      </c>
    </row>
    <row r="20" spans="1:48" ht="17" customHeight="1">
      <c r="A20" s="16">
        <v>32</v>
      </c>
      <c r="B20" s="16" t="s">
        <v>371</v>
      </c>
      <c r="C20" s="16" t="s">
        <v>372</v>
      </c>
      <c r="D20" s="16" t="s">
        <v>370</v>
      </c>
      <c r="E20" s="9" t="s">
        <v>170</v>
      </c>
      <c r="F20" s="16">
        <v>2022</v>
      </c>
      <c r="G20" s="16" t="s">
        <v>239</v>
      </c>
      <c r="H20" s="16" t="s">
        <v>218</v>
      </c>
      <c r="I20" s="16" t="s">
        <v>59</v>
      </c>
      <c r="J20" s="16" t="s">
        <v>86</v>
      </c>
      <c r="K20" s="16" t="s">
        <v>100</v>
      </c>
      <c r="L20" s="16" t="s">
        <v>391</v>
      </c>
      <c r="M20" s="16" t="s">
        <v>62</v>
      </c>
      <c r="N20" s="9" t="s">
        <v>393</v>
      </c>
      <c r="O20" s="16" t="s">
        <v>536</v>
      </c>
      <c r="P20" s="16">
        <v>137</v>
      </c>
      <c r="Q20" s="16" t="s">
        <v>171</v>
      </c>
      <c r="R20" s="16" t="s">
        <v>17</v>
      </c>
      <c r="S20" s="16" t="s">
        <v>374</v>
      </c>
      <c r="T20" s="16" t="s">
        <v>376</v>
      </c>
      <c r="U20" s="16" t="s">
        <v>383</v>
      </c>
      <c r="V20" s="16" t="s">
        <v>62</v>
      </c>
      <c r="W20" s="16" t="s">
        <v>62</v>
      </c>
      <c r="X20" s="16" t="s">
        <v>62</v>
      </c>
      <c r="Y20" s="16" t="s">
        <v>384</v>
      </c>
      <c r="Z20" s="16" t="s">
        <v>385</v>
      </c>
      <c r="AA20" s="16" t="s">
        <v>375</v>
      </c>
      <c r="AB20" s="16" t="s">
        <v>62</v>
      </c>
      <c r="AC20" s="16" t="s">
        <v>62</v>
      </c>
      <c r="AD20" s="16" t="s">
        <v>378</v>
      </c>
      <c r="AE20" s="16" t="s">
        <v>377</v>
      </c>
      <c r="AF20" s="16" t="s">
        <v>379</v>
      </c>
      <c r="AG20" s="16" t="s">
        <v>380</v>
      </c>
      <c r="AH20" s="16" t="s">
        <v>381</v>
      </c>
      <c r="AI20" s="16" t="s">
        <v>62</v>
      </c>
      <c r="AJ20" s="16" t="s">
        <v>62</v>
      </c>
      <c r="AK20" s="16" t="s">
        <v>382</v>
      </c>
      <c r="AL20" s="16" t="s">
        <v>389</v>
      </c>
      <c r="AM20" s="16" t="s">
        <v>388</v>
      </c>
      <c r="AN20" s="16" t="s">
        <v>387</v>
      </c>
      <c r="AO20" s="16" t="s">
        <v>390</v>
      </c>
      <c r="AP20" s="24" t="s">
        <v>386</v>
      </c>
      <c r="AQ20" s="24" t="s">
        <v>527</v>
      </c>
      <c r="AR20" s="24" t="s">
        <v>528</v>
      </c>
      <c r="AS20" s="9" t="s">
        <v>62</v>
      </c>
      <c r="AT20" s="24" t="s">
        <v>529</v>
      </c>
      <c r="AU20" s="16" t="s">
        <v>228</v>
      </c>
      <c r="AV20" s="16" t="s">
        <v>373</v>
      </c>
    </row>
    <row r="21" spans="1:48">
      <c r="A21" s="16">
        <v>34</v>
      </c>
      <c r="B21" s="16" t="s">
        <v>394</v>
      </c>
      <c r="C21" s="16" t="s">
        <v>395</v>
      </c>
      <c r="D21" s="16" t="s">
        <v>396</v>
      </c>
      <c r="E21" s="9" t="s">
        <v>397</v>
      </c>
      <c r="F21" s="16">
        <v>2022</v>
      </c>
      <c r="G21" s="16" t="s">
        <v>361</v>
      </c>
      <c r="H21" s="16" t="s">
        <v>98</v>
      </c>
      <c r="I21" s="16" t="s">
        <v>59</v>
      </c>
      <c r="J21" s="16" t="s">
        <v>86</v>
      </c>
      <c r="K21" s="16" t="s">
        <v>100</v>
      </c>
      <c r="L21" s="16" t="s">
        <v>428</v>
      </c>
      <c r="M21" s="16" t="s">
        <v>62</v>
      </c>
      <c r="N21" s="9" t="s">
        <v>547</v>
      </c>
      <c r="O21" s="16" t="s">
        <v>406</v>
      </c>
      <c r="P21" s="16">
        <v>873</v>
      </c>
      <c r="Q21" s="16" t="s">
        <v>402</v>
      </c>
      <c r="R21" s="16" t="s">
        <v>398</v>
      </c>
      <c r="S21" s="16" t="s">
        <v>401</v>
      </c>
      <c r="T21" s="16" t="s">
        <v>403</v>
      </c>
      <c r="U21" s="16" t="s">
        <v>399</v>
      </c>
      <c r="V21" s="16" t="s">
        <v>62</v>
      </c>
      <c r="W21" s="16" t="s">
        <v>62</v>
      </c>
      <c r="X21" s="16" t="s">
        <v>62</v>
      </c>
      <c r="Y21" s="16" t="s">
        <v>62</v>
      </c>
      <c r="Z21" s="16" t="s">
        <v>400</v>
      </c>
      <c r="AA21" s="16" t="s">
        <v>404</v>
      </c>
      <c r="AB21" s="16" t="s">
        <v>405</v>
      </c>
      <c r="AC21" s="16" t="s">
        <v>530</v>
      </c>
      <c r="AD21" s="9" t="s">
        <v>62</v>
      </c>
      <c r="AE21" s="9" t="s">
        <v>62</v>
      </c>
      <c r="AF21" s="9" t="s">
        <v>62</v>
      </c>
      <c r="AG21" s="9" t="s">
        <v>62</v>
      </c>
      <c r="AH21" s="9" t="s">
        <v>62</v>
      </c>
      <c r="AI21" s="9" t="s">
        <v>62</v>
      </c>
      <c r="AJ21" s="9" t="s">
        <v>62</v>
      </c>
      <c r="AK21" s="9" t="s">
        <v>62</v>
      </c>
      <c r="AL21" s="9" t="s">
        <v>62</v>
      </c>
      <c r="AM21" s="9" t="s">
        <v>62</v>
      </c>
      <c r="AN21" s="9" t="s">
        <v>62</v>
      </c>
      <c r="AO21" s="9" t="s">
        <v>62</v>
      </c>
      <c r="AP21" s="9" t="s">
        <v>62</v>
      </c>
      <c r="AQ21" s="9" t="s">
        <v>531</v>
      </c>
      <c r="AR21" s="9" t="s">
        <v>533</v>
      </c>
      <c r="AS21" s="9" t="s">
        <v>62</v>
      </c>
      <c r="AT21" s="9" t="s">
        <v>532</v>
      </c>
      <c r="AU21" s="9" t="s">
        <v>407</v>
      </c>
    </row>
    <row r="22" spans="1:48" s="25" customFormat="1" ht="21" customHeight="1">
      <c r="A22" s="25">
        <v>39</v>
      </c>
      <c r="B22" s="25" t="s">
        <v>408</v>
      </c>
      <c r="C22" s="25" t="s">
        <v>409</v>
      </c>
      <c r="D22" s="25" t="s">
        <v>410</v>
      </c>
      <c r="E22" s="25" t="s">
        <v>217</v>
      </c>
      <c r="F22" s="25">
        <v>2021</v>
      </c>
      <c r="G22" s="25" t="s">
        <v>411</v>
      </c>
      <c r="H22" s="25" t="s">
        <v>218</v>
      </c>
      <c r="I22" s="25" t="s">
        <v>59</v>
      </c>
      <c r="J22" s="25" t="s">
        <v>86</v>
      </c>
      <c r="K22" s="25" t="s">
        <v>60</v>
      </c>
      <c r="L22" s="25" t="s">
        <v>413</v>
      </c>
      <c r="M22" s="25" t="s">
        <v>412</v>
      </c>
      <c r="N22" s="27" t="s">
        <v>414</v>
      </c>
      <c r="O22" s="27" t="s">
        <v>535</v>
      </c>
      <c r="P22" s="25">
        <v>614</v>
      </c>
      <c r="Q22" s="25" t="s">
        <v>415</v>
      </c>
      <c r="R22" s="25" t="s">
        <v>18</v>
      </c>
      <c r="S22" s="28" t="s">
        <v>416</v>
      </c>
      <c r="T22" s="25" t="s">
        <v>417</v>
      </c>
      <c r="U22" s="25" t="s">
        <v>62</v>
      </c>
      <c r="V22" s="25" t="s">
        <v>62</v>
      </c>
      <c r="W22" s="25" t="s">
        <v>62</v>
      </c>
      <c r="X22" s="25" t="s">
        <v>62</v>
      </c>
      <c r="Y22" s="25" t="s">
        <v>62</v>
      </c>
      <c r="Z22" s="25" t="s">
        <v>422</v>
      </c>
      <c r="AA22" s="25" t="s">
        <v>62</v>
      </c>
      <c r="AB22" s="25" t="s">
        <v>62</v>
      </c>
      <c r="AC22" s="25" t="s">
        <v>62</v>
      </c>
      <c r="AD22" s="25" t="s">
        <v>419</v>
      </c>
      <c r="AE22" s="25" t="s">
        <v>420</v>
      </c>
      <c r="AF22" s="25" t="s">
        <v>62</v>
      </c>
      <c r="AG22" s="25" t="s">
        <v>418</v>
      </c>
      <c r="AH22" s="25" t="s">
        <v>421</v>
      </c>
      <c r="AI22" s="25" t="s">
        <v>62</v>
      </c>
      <c r="AJ22" s="25" t="s">
        <v>62</v>
      </c>
      <c r="AK22" s="26" t="s">
        <v>62</v>
      </c>
      <c r="AL22" s="25" t="s">
        <v>423</v>
      </c>
      <c r="AM22" s="25" t="s">
        <v>424</v>
      </c>
      <c r="AN22" s="25" t="s">
        <v>62</v>
      </c>
      <c r="AO22" s="25" t="s">
        <v>425</v>
      </c>
      <c r="AP22" s="26" t="s">
        <v>62</v>
      </c>
      <c r="AQ22" s="26" t="s">
        <v>534</v>
      </c>
      <c r="AR22" s="26" t="s">
        <v>62</v>
      </c>
      <c r="AS22" s="26" t="s">
        <v>62</v>
      </c>
      <c r="AT22" s="26" t="s">
        <v>62</v>
      </c>
      <c r="AU22" s="25" t="s">
        <v>426</v>
      </c>
    </row>
    <row r="24" spans="1:48">
      <c r="B24" s="17" t="s">
        <v>429</v>
      </c>
    </row>
  </sheetData>
  <dataValidations count="3">
    <dataValidation type="list" allowBlank="1" showInputMessage="1" showErrorMessage="1" sqref="K1:K1048576" xr:uid="{1EF9AC53-BC12-0146-A568-B4221EA47210}">
      <formula1>"Prospective, Retrospective"</formula1>
    </dataValidation>
    <dataValidation type="list" allowBlank="1" showInputMessage="1" showErrorMessage="1" sqref="I1:I1048576" xr:uid="{580E620B-60D2-F74C-8F5C-CA7C5D4444A5}">
      <formula1>"Single-centre, Multi-centre"</formula1>
    </dataValidation>
    <dataValidation type="list" allowBlank="1" showInputMessage="1" showErrorMessage="1" sqref="J2:J1048576" xr:uid="{F7DB8FD9-D873-5040-81FC-FC03B3FBBA63}">
      <formula1>"Cohort, Case-Control, Cross-Sectional"</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98FFD-DC66-0943-AF59-47279D003E40}">
  <dimension ref="A1:AR2"/>
  <sheetViews>
    <sheetView workbookViewId="0">
      <pane ySplit="1" topLeftCell="A2" activePane="bottomLeft" state="frozen"/>
      <selection pane="bottomLeft" activeCell="D13" sqref="D13"/>
    </sheetView>
  </sheetViews>
  <sheetFormatPr baseColWidth="10" defaultRowHeight="16"/>
  <cols>
    <col min="43" max="43" width="12.6640625" customWidth="1"/>
  </cols>
  <sheetData>
    <row r="1" spans="1:44">
      <c r="A1" s="1" t="s">
        <v>40</v>
      </c>
      <c r="B1" s="1" t="s">
        <v>44</v>
      </c>
      <c r="C1" s="1" t="s">
        <v>41</v>
      </c>
      <c r="D1" s="1" t="s">
        <v>39</v>
      </c>
      <c r="E1" s="1" t="s">
        <v>0</v>
      </c>
      <c r="F1" s="1" t="s">
        <v>1</v>
      </c>
      <c r="G1" s="1" t="s">
        <v>42</v>
      </c>
      <c r="H1" s="1" t="s">
        <v>2</v>
      </c>
      <c r="I1" s="1" t="s">
        <v>9</v>
      </c>
      <c r="J1" s="1" t="s">
        <v>35</v>
      </c>
      <c r="K1" s="2" t="s">
        <v>3</v>
      </c>
      <c r="L1" s="2" t="s">
        <v>4</v>
      </c>
      <c r="M1" s="2" t="s">
        <v>12</v>
      </c>
      <c r="N1" s="2" t="s">
        <v>10</v>
      </c>
      <c r="O1" s="2" t="s">
        <v>11</v>
      </c>
      <c r="P1" s="2" t="s">
        <v>5</v>
      </c>
      <c r="Q1" s="2" t="s">
        <v>6</v>
      </c>
      <c r="R1" s="2" t="s">
        <v>7</v>
      </c>
      <c r="S1" s="2" t="s">
        <v>8</v>
      </c>
      <c r="T1" s="2" t="s">
        <v>46</v>
      </c>
      <c r="U1" s="3" t="s">
        <v>13</v>
      </c>
      <c r="V1" s="3" t="s">
        <v>14</v>
      </c>
      <c r="W1" s="3" t="s">
        <v>15</v>
      </c>
      <c r="X1" s="3" t="s">
        <v>16</v>
      </c>
      <c r="Y1" s="3" t="s">
        <v>17</v>
      </c>
      <c r="Z1" s="3" t="s">
        <v>18</v>
      </c>
      <c r="AA1" s="3" t="s">
        <v>19</v>
      </c>
      <c r="AB1" s="3" t="s">
        <v>20</v>
      </c>
      <c r="AC1" s="3" t="s">
        <v>21</v>
      </c>
      <c r="AD1" s="4" t="s">
        <v>22</v>
      </c>
      <c r="AE1" s="4" t="s">
        <v>23</v>
      </c>
      <c r="AF1" s="4" t="s">
        <v>24</v>
      </c>
      <c r="AG1" s="4" t="s">
        <v>25</v>
      </c>
      <c r="AH1" s="4" t="s">
        <v>26</v>
      </c>
      <c r="AI1" s="4" t="s">
        <v>27</v>
      </c>
      <c r="AJ1" s="4" t="s">
        <v>28</v>
      </c>
      <c r="AK1" s="4" t="s">
        <v>33</v>
      </c>
      <c r="AL1" s="5" t="s">
        <v>43</v>
      </c>
      <c r="AM1" s="5" t="s">
        <v>29</v>
      </c>
      <c r="AN1" s="5" t="s">
        <v>30</v>
      </c>
      <c r="AO1" s="5" t="s">
        <v>31</v>
      </c>
      <c r="AP1" s="5" t="s">
        <v>32</v>
      </c>
      <c r="AQ1" s="6" t="s">
        <v>34</v>
      </c>
      <c r="AR1" s="5" t="s">
        <v>199</v>
      </c>
    </row>
    <row r="2" spans="1:44" ht="17" customHeight="1">
      <c r="A2">
        <v>13</v>
      </c>
      <c r="B2" t="s">
        <v>172</v>
      </c>
      <c r="C2" t="s">
        <v>173</v>
      </c>
      <c r="D2" t="s">
        <v>174</v>
      </c>
      <c r="E2" t="s">
        <v>175</v>
      </c>
      <c r="F2">
        <v>2025</v>
      </c>
      <c r="G2" t="s">
        <v>176</v>
      </c>
      <c r="H2" t="s">
        <v>177</v>
      </c>
      <c r="I2" t="s">
        <v>99</v>
      </c>
      <c r="K2" t="s">
        <v>183</v>
      </c>
      <c r="L2" t="s">
        <v>182</v>
      </c>
      <c r="M2">
        <v>658</v>
      </c>
      <c r="N2" t="s">
        <v>178</v>
      </c>
      <c r="O2" t="s">
        <v>179</v>
      </c>
      <c r="P2" s="8" t="s">
        <v>180</v>
      </c>
      <c r="Q2" t="s">
        <v>181</v>
      </c>
      <c r="R2" t="s">
        <v>184</v>
      </c>
      <c r="S2" s="8" t="s">
        <v>185</v>
      </c>
      <c r="T2" t="s">
        <v>186</v>
      </c>
      <c r="U2" t="s">
        <v>187</v>
      </c>
      <c r="V2" t="s">
        <v>62</v>
      </c>
      <c r="W2" t="s">
        <v>62</v>
      </c>
      <c r="X2" t="s">
        <v>62</v>
      </c>
      <c r="Y2" t="s">
        <v>191</v>
      </c>
      <c r="Z2" t="s">
        <v>62</v>
      </c>
      <c r="AA2" t="s">
        <v>192</v>
      </c>
      <c r="AB2" t="s">
        <v>193</v>
      </c>
      <c r="AC2" t="s">
        <v>62</v>
      </c>
      <c r="AD2" t="s">
        <v>194</v>
      </c>
      <c r="AE2" t="s">
        <v>195</v>
      </c>
      <c r="AF2" t="s">
        <v>62</v>
      </c>
      <c r="AG2" t="s">
        <v>62</v>
      </c>
      <c r="AH2" t="s">
        <v>62</v>
      </c>
      <c r="AI2" t="s">
        <v>196</v>
      </c>
      <c r="AJ2" t="s">
        <v>62</v>
      </c>
      <c r="AK2" t="s">
        <v>62</v>
      </c>
      <c r="AL2" t="s">
        <v>198</v>
      </c>
      <c r="AM2" t="s">
        <v>188</v>
      </c>
      <c r="AN2" t="s">
        <v>189</v>
      </c>
      <c r="AO2" t="s">
        <v>190</v>
      </c>
      <c r="AP2" t="s">
        <v>62</v>
      </c>
      <c r="AQ2" s="7" t="s">
        <v>197</v>
      </c>
      <c r="AR2" t="s">
        <v>200</v>
      </c>
    </row>
  </sheetData>
  <dataValidations count="5">
    <dataValidation type="list" allowBlank="1" showInputMessage="1" sqref="H2" xr:uid="{CBECA05E-D095-8442-98A7-B7581DBE6808}">
      <formula1>"UK, USA, China, Turkey, India, Canada, Mexico, Brazil, Finland"</formula1>
    </dataValidation>
    <dataValidation type="list" allowBlank="1" showInputMessage="1" sqref="O1048535:O1048576 N2:N1048576" xr:uid="{E855FDAE-F41F-D74B-8A4B-BF6D6B994C2B}">
      <formula1>"Yes, No"</formula1>
    </dataValidation>
    <dataValidation type="list" allowBlank="1" showInputMessage="1" showErrorMessage="1" sqref="I2:J1048576" xr:uid="{907A26E8-D67B-4E49-BEDB-F757425C5A55}">
      <formula1>"Multi-centre, Single-centre"</formula1>
    </dataValidation>
    <dataValidation type="list" errorStyle="warning" allowBlank="1" showInputMessage="1" sqref="L2:L1048576" xr:uid="{0EF5B6E7-7341-C846-8DF3-6B6E4688FD1B}">
      <formula1>"Adults&gt;=18y, Adults 18-64y, Adults&gt;=65y"</formula1>
    </dataValidation>
    <dataValidation type="list" allowBlank="1" showInputMessage="1" sqref="H3:H1048576" xr:uid="{FEFE7E74-6268-894E-962F-D13A2E885FEB}">
      <formula1>"Afghanistan, Albania, Algeria, Andorra, Angola, Antigua and Barbuda, Argentina, Armenia, Australia, Austria, Azerbaijan, Bahamas, Bahrain, Bangladesh, Barbados, Belarus, Belgium, Belize, Benin, Bhutan, Bolivia, Bosnia and Herzegovina, Botswana, Brazil, Br"</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Observational</vt:lpstr>
      <vt:lpstr>RCT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Tanvi Dabke</dc:creator>
  <cp:lastModifiedBy>Tanvi Dabke</cp:lastModifiedBy>
  <dcterms:created xsi:type="dcterms:W3CDTF">2025-10-13T09:26:59Z</dcterms:created>
  <dcterms:modified xsi:type="dcterms:W3CDTF">2026-06-02T20:06:32Z</dcterms:modified>
</cp:coreProperties>
</file>