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odd\Documents\"/>
    </mc:Choice>
  </mc:AlternateContent>
  <xr:revisionPtr revIDLastSave="0" documentId="13_ncr:1_{990C6BE7-0E00-4A17-B950-59EC9BFB4621}" xr6:coauthVersionLast="47" xr6:coauthVersionMax="47" xr10:uidLastSave="{00000000-0000-0000-0000-000000000000}"/>
  <bookViews>
    <workbookView xWindow="-110" yWindow="-110" windowWidth="19420" windowHeight="10300" xr2:uid="{198FDC42-9382-4833-B419-ED8B4D20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3" i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<sst xmlns="http://schemas.openxmlformats.org/spreadsheetml/2006/main" count="96" uniqueCount="86">
  <si>
    <t>age</t>
  </si>
  <si>
    <t>42.3 ± 14.7 (Median ± SD)</t>
  </si>
  <si>
    <t>≥18 years: years mean +/- SD 75.1 ± 14.0</t>
  </si>
  <si>
    <t>survivor group (n=49): 70.0 ± 2.0; non-survivor group (n=14): 69.1 ± 4.1</t>
  </si>
  <si>
    <t>≥18 years:</t>
  </si>
  <si>
    <t>≥18 years: mean years 65.4; SD 14.6; median years 67</t>
  </si>
  <si>
    <t>Mean age was 60.5 years (SD 16.4)</t>
  </si>
  <si>
    <t>≥18 years: years mean +/- SD 75.03± 13.41</t>
  </si>
  <si>
    <t>≥18 years</t>
  </si>
  <si>
    <t>≥18 years: years median [IQR] KP-CAP 68 [56, 80]; SP-CAP 73 [61, 81]</t>
  </si>
  <si>
    <t>≥18 years: median age of 73 years (range 18–95, IQR: 20)</t>
  </si>
  <si>
    <t xml:space="preserve"> ≥80 years: year median (Q1 ; Q3) 83 (81; 85)</t>
  </si>
  <si>
    <t xml:space="preserve">&gt;18: years median IQR; no LP 65 (53–77); LP 59 (49–74) </t>
  </si>
  <si>
    <t xml:space="preserve">≥18 years: years median (IQR) 63.0 (49.0–73.0) </t>
  </si>
  <si>
    <t>≥18 years: years median (IQR) 69 (56, 79)</t>
  </si>
  <si>
    <t>≥18 years: year, mean +/- SD 60 (+/- 16.5)</t>
  </si>
  <si>
    <t>Years old medican (IQR 77 (69, 83)</t>
  </si>
  <si>
    <t>≥18 years: positive BC median (range) 62 (19 to 96); negative BC 64 (21 to 99)</t>
  </si>
  <si>
    <t>52.91 ± 18.89 </t>
  </si>
  <si>
    <t>62.88 (18.75)</t>
  </si>
  <si>
    <t>60.9 (16.07)</t>
  </si>
  <si>
    <t>71 (52.5-83.7)</t>
  </si>
  <si>
    <t>68.7 +/- 13.0</t>
  </si>
  <si>
    <t>61.6 (17.6)</t>
  </si>
  <si>
    <t>58.8 +/-16.3</t>
  </si>
  <si>
    <t>67.7 +/-16.3</t>
  </si>
  <si>
    <t xml:space="preserve"> 61.1 +/- 17.9 y</t>
  </si>
  <si>
    <t>62±16</t>
  </si>
  <si>
    <t>63 (mean)</t>
  </si>
  <si>
    <t>74 (SD 6.5)</t>
  </si>
  <si>
    <t>59.5 ± 16.6</t>
  </si>
  <si>
    <t>71 (IQR 64-77)</t>
  </si>
  <si>
    <t>39 (+/- 11)</t>
  </si>
  <si>
    <t>62 ± 20</t>
  </si>
  <si>
    <t>71 (58-76)</t>
  </si>
  <si>
    <t>72.73+/-12.85</t>
  </si>
  <si>
    <t>adult</t>
  </si>
  <si>
    <t>Mean 59.08 ± 15.76 years</t>
  </si>
  <si>
    <t>Median 63 years (SOC) vs 59 years (CPA)</t>
  </si>
  <si>
    <t>age (grouped as &lt;40, 40–64, 65–79 and 80+)</t>
  </si>
  <si>
    <t>Mean 75</t>
  </si>
  <si>
    <t>Median age: Psittacosis 48 years vs Legionella 60 years</t>
  </si>
  <si>
    <t>Mean age 59.9 ± 16.1 years</t>
  </si>
  <si>
    <t>Mean 69.9 ± 11.4 years</t>
  </si>
  <si>
    <t>Mean 64.1 ± 12.6 years</t>
  </si>
  <si>
    <t>Median ~65 years</t>
  </si>
  <si>
    <t>Age years 65.8±14.4 (Non-ARDS patients); 63.1±17.3 (ARDS patients)</t>
  </si>
  <si>
    <t>57.5 ± 11.8 years</t>
  </si>
  <si>
    <t>median 50 years (IQR 38–57) overall; 48 (36–55) indigenous; 64 (57–70) non-indigenous</t>
  </si>
  <si>
    <t>66 (53-76)</t>
  </si>
  <si>
    <t>median iqr - septic shock 63 (26), noss 60 (30)</t>
  </si>
  <si>
    <t>60.1+-14.8</t>
  </si>
  <si>
    <t>Adults&gt;=18y</t>
  </si>
  <si>
    <t>Age (years), mean (SD) 55.7 (16.8)</t>
  </si>
  <si>
    <t>Age (y), median (IQR) 71 (59-8)</t>
  </si>
  <si>
    <t>Median age was 64 years (range 18 to 101, IQR 51 to 71)</t>
  </si>
  <si>
    <t>nonsurvivors through mechanical ventilation. Their mean ages were 56.5 + 7.8 years. survivors through mechanical ventilation. Their mean aged 48 + 11.3 years.</t>
  </si>
  <si>
    <t>mean (SD) age was 67.5 (12.4) years</t>
  </si>
  <si>
    <t>57±17</t>
  </si>
  <si>
    <t>median (range) age 63.8 (23–80) years</t>
  </si>
  <si>
    <t>Mean age 65.1 ± 15.3 years</t>
  </si>
  <si>
    <t>average age was 56.8±16</t>
  </si>
  <si>
    <t>ages of patients ranged from 14 to 71 years with a mean of 35.27 ± 14.35 years</t>
  </si>
  <si>
    <t>Age, median bQ (n = 104) 54 (44–67) bM (n = 106) 55 (43–67)</t>
  </si>
  <si>
    <t>The mean (± SD) age was 61±18 years</t>
  </si>
  <si>
    <t>"Age, years (median [IQR]) 62 [46; 76]"</t>
  </si>
  <si>
    <t>Mean (SD): 55.5 (15.9)</t>
  </si>
  <si>
    <t>60 (49-75)</t>
  </si>
  <si>
    <t>58-62</t>
  </si>
  <si>
    <t>mean age of 42 (±16.1) years</t>
  </si>
  <si>
    <t>Mean 49.5y</t>
  </si>
  <si>
    <t>mean age at admission of 59.4±13.4 years.</t>
  </si>
  <si>
    <t>70 (54-81) median with 25/75% IQR</t>
  </si>
  <si>
    <t>Age (y) 73.5 (57.7-83)</t>
  </si>
  <si>
    <t>median age, 69 years</t>
  </si>
  <si>
    <t>median (IQR) 63.4 ± 16.5</t>
  </si>
  <si>
    <t>mean age was 63.8 ± 16.8 years.</t>
  </si>
  <si>
    <t>mean age of 45.5 ± 14.5 (median, 47) years;</t>
  </si>
  <si>
    <t>Mean age was 41.6 ± 11.9 (range 21 to 61)</t>
  </si>
  <si>
    <t>sirolimus group age years 46.7 +/- 12.1; non-sirolimus group age years 51.5 +/- 16</t>
  </si>
  <si>
    <t>Mean IQR: empiricial antiviral 56.1 (14.5). No antiviral 57.6 (16.3)</t>
  </si>
  <si>
    <t>52.91+-18.89 years</t>
  </si>
  <si>
    <t>54.5y (36-73)</t>
  </si>
  <si>
    <t>mNGS 67y (55-75). CMTs 68y (54-77)</t>
  </si>
  <si>
    <t>59.91y +- 16.1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</si>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</sst>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AB6E-9F1A-4CC4-9ED8-1D90A768BBDC}">
  <dimension ref="A1:B114"/>
  <sheetViews>
    <sheetView tabSelected="1" topLeftCell="A79" workbookViewId="0">
      <selection activeCell="B90" sqref="B90"/>
    </sheetView>
  </sheetViews>
  <sheetFormatPr defaultRowHeight="14.5" x14ac:dyDescent="0.35"/>
  <sheetData>
    <row r="1" spans="1:2" x14ac:dyDescent="0.35">
      <c r="A1" t="s">
        <v>85</v>
      </c>
      <c r="B1" t="s">
        <v>0</v>
      </c>
    </row>
    <row r="2" spans="1:2" x14ac:dyDescent="0.35">
      <c r="A2">
        <v>1</v>
      </c>
      <c r="B2" t="s">
        <v>1</v>
      </c>
    </row>
    <row r="3" spans="1:2" x14ac:dyDescent="0.35">
      <c r="A3">
        <f>A2+1</f>
        <v>2</v>
      </c>
      <c r="B3" t="s">
        <v>2</v>
      </c>
    </row>
    <row r="4" spans="1:2" x14ac:dyDescent="0.35">
      <c r="A4">
        <f t="shared" ref="A4:A67" si="0">A3+1</f>
        <v>3</v>
      </c>
      <c r="B4" t="s">
        <v>3</v>
      </c>
    </row>
    <row r="5" spans="1:2" x14ac:dyDescent="0.35">
      <c r="A5">
        <f t="shared" si="0"/>
        <v>4</v>
      </c>
      <c r="B5" t="s">
        <v>4</v>
      </c>
    </row>
    <row r="6" spans="1:2" x14ac:dyDescent="0.35">
      <c r="A6">
        <f t="shared" si="0"/>
        <v>5</v>
      </c>
    </row>
    <row r="7" spans="1:2" x14ac:dyDescent="0.35">
      <c r="A7">
        <f t="shared" si="0"/>
        <v>6</v>
      </c>
      <c r="B7" t="s">
        <v>5</v>
      </c>
    </row>
    <row r="8" spans="1:2" x14ac:dyDescent="0.35">
      <c r="A8">
        <f t="shared" si="0"/>
        <v>7</v>
      </c>
      <c r="B8" t="s">
        <v>6</v>
      </c>
    </row>
    <row r="9" spans="1:2" x14ac:dyDescent="0.35">
      <c r="A9">
        <f t="shared" si="0"/>
        <v>8</v>
      </c>
      <c r="B9" t="s">
        <v>7</v>
      </c>
    </row>
    <row r="10" spans="1:2" x14ac:dyDescent="0.35">
      <c r="A10">
        <f t="shared" si="0"/>
        <v>9</v>
      </c>
      <c r="B10" t="s">
        <v>8</v>
      </c>
    </row>
    <row r="11" spans="1:2" x14ac:dyDescent="0.35">
      <c r="A11">
        <f t="shared" si="0"/>
        <v>10</v>
      </c>
      <c r="B11" t="s">
        <v>9</v>
      </c>
    </row>
    <row r="12" spans="1:2" x14ac:dyDescent="0.35">
      <c r="A12">
        <f t="shared" si="0"/>
        <v>11</v>
      </c>
      <c r="B12" t="s">
        <v>8</v>
      </c>
    </row>
    <row r="13" spans="1:2" x14ac:dyDescent="0.35">
      <c r="A13">
        <f t="shared" si="0"/>
        <v>12</v>
      </c>
      <c r="B13" t="s">
        <v>10</v>
      </c>
    </row>
    <row r="14" spans="1:2" x14ac:dyDescent="0.35">
      <c r="A14">
        <f t="shared" si="0"/>
        <v>13</v>
      </c>
      <c r="B14" t="s">
        <v>8</v>
      </c>
    </row>
    <row r="15" spans="1:2" x14ac:dyDescent="0.35">
      <c r="A15">
        <f t="shared" si="0"/>
        <v>14</v>
      </c>
      <c r="B15" t="s">
        <v>11</v>
      </c>
    </row>
    <row r="16" spans="1:2" x14ac:dyDescent="0.35">
      <c r="A16">
        <f t="shared" si="0"/>
        <v>15</v>
      </c>
      <c r="B16" t="s">
        <v>12</v>
      </c>
    </row>
    <row r="17" spans="1:2" x14ac:dyDescent="0.35">
      <c r="A17">
        <f t="shared" si="0"/>
        <v>16</v>
      </c>
      <c r="B17" t="s">
        <v>13</v>
      </c>
    </row>
    <row r="18" spans="1:2" x14ac:dyDescent="0.35">
      <c r="A18">
        <f t="shared" si="0"/>
        <v>17</v>
      </c>
      <c r="B18" t="s">
        <v>14</v>
      </c>
    </row>
    <row r="19" spans="1:2" x14ac:dyDescent="0.35">
      <c r="A19">
        <f t="shared" si="0"/>
        <v>18</v>
      </c>
      <c r="B19" t="s">
        <v>15</v>
      </c>
    </row>
    <row r="20" spans="1:2" x14ac:dyDescent="0.35">
      <c r="A20">
        <f t="shared" si="0"/>
        <v>19</v>
      </c>
      <c r="B20" t="s">
        <v>16</v>
      </c>
    </row>
    <row r="21" spans="1:2" x14ac:dyDescent="0.35">
      <c r="A21">
        <f t="shared" si="0"/>
        <v>20</v>
      </c>
      <c r="B21" t="s">
        <v>17</v>
      </c>
    </row>
    <row r="22" spans="1:2" x14ac:dyDescent="0.35">
      <c r="A22">
        <f t="shared" si="0"/>
        <v>21</v>
      </c>
      <c r="B22" t="s">
        <v>18</v>
      </c>
    </row>
    <row r="23" spans="1:2" x14ac:dyDescent="0.35">
      <c r="A23">
        <f t="shared" si="0"/>
        <v>22</v>
      </c>
      <c r="B23" t="s">
        <v>19</v>
      </c>
    </row>
    <row r="24" spans="1:2" x14ac:dyDescent="0.35">
      <c r="A24">
        <f t="shared" si="0"/>
        <v>23</v>
      </c>
      <c r="B24" t="s">
        <v>20</v>
      </c>
    </row>
    <row r="25" spans="1:2" x14ac:dyDescent="0.35">
      <c r="A25">
        <f t="shared" si="0"/>
        <v>24</v>
      </c>
      <c r="B25" t="s">
        <v>21</v>
      </c>
    </row>
    <row r="26" spans="1:2" x14ac:dyDescent="0.35">
      <c r="A26">
        <f t="shared" si="0"/>
        <v>25</v>
      </c>
      <c r="B26" t="s">
        <v>22</v>
      </c>
    </row>
    <row r="27" spans="1:2" x14ac:dyDescent="0.35">
      <c r="A27">
        <f t="shared" si="0"/>
        <v>26</v>
      </c>
      <c r="B27" t="s">
        <v>23</v>
      </c>
    </row>
    <row r="28" spans="1:2" x14ac:dyDescent="0.35">
      <c r="A28">
        <f t="shared" si="0"/>
        <v>27</v>
      </c>
      <c r="B28">
        <v>61.21</v>
      </c>
    </row>
    <row r="29" spans="1:2" x14ac:dyDescent="0.35">
      <c r="A29">
        <f t="shared" si="0"/>
        <v>28</v>
      </c>
      <c r="B29" t="s">
        <v>24</v>
      </c>
    </row>
    <row r="30" spans="1:2" x14ac:dyDescent="0.35">
      <c r="A30">
        <f t="shared" si="0"/>
        <v>29</v>
      </c>
      <c r="B30" t="s">
        <v>25</v>
      </c>
    </row>
    <row r="31" spans="1:2" x14ac:dyDescent="0.35">
      <c r="A31">
        <f t="shared" si="0"/>
        <v>30</v>
      </c>
      <c r="B31">
        <v>72.900000000000006</v>
      </c>
    </row>
    <row r="32" spans="1:2" x14ac:dyDescent="0.35">
      <c r="A32">
        <f t="shared" si="0"/>
        <v>31</v>
      </c>
      <c r="B32" t="s">
        <v>26</v>
      </c>
    </row>
    <row r="33" spans="1:2" x14ac:dyDescent="0.35">
      <c r="A33">
        <f t="shared" si="0"/>
        <v>32</v>
      </c>
      <c r="B33" t="s">
        <v>27</v>
      </c>
    </row>
    <row r="34" spans="1:2" x14ac:dyDescent="0.35">
      <c r="A34">
        <f t="shared" si="0"/>
        <v>33</v>
      </c>
      <c r="B34" t="s">
        <v>28</v>
      </c>
    </row>
    <row r="35" spans="1:2" x14ac:dyDescent="0.35">
      <c r="A35">
        <f t="shared" si="0"/>
        <v>34</v>
      </c>
      <c r="B35" t="s">
        <v>29</v>
      </c>
    </row>
    <row r="36" spans="1:2" x14ac:dyDescent="0.35">
      <c r="A36">
        <f t="shared" si="0"/>
        <v>35</v>
      </c>
      <c r="B36" t="s">
        <v>30</v>
      </c>
    </row>
    <row r="37" spans="1:2" x14ac:dyDescent="0.35">
      <c r="A37">
        <f t="shared" si="0"/>
        <v>36</v>
      </c>
    </row>
    <row r="38" spans="1:2" x14ac:dyDescent="0.35">
      <c r="A38">
        <f t="shared" si="0"/>
        <v>37</v>
      </c>
    </row>
    <row r="39" spans="1:2" x14ac:dyDescent="0.35">
      <c r="A39">
        <f t="shared" si="0"/>
        <v>38</v>
      </c>
      <c r="B39" t="s">
        <v>31</v>
      </c>
    </row>
    <row r="40" spans="1:2" x14ac:dyDescent="0.35">
      <c r="A40">
        <f t="shared" si="0"/>
        <v>39</v>
      </c>
      <c r="B40" t="s">
        <v>32</v>
      </c>
    </row>
    <row r="41" spans="1:2" x14ac:dyDescent="0.35">
      <c r="A41">
        <f t="shared" si="0"/>
        <v>40</v>
      </c>
      <c r="B41">
        <v>76.5</v>
      </c>
    </row>
    <row r="42" spans="1:2" x14ac:dyDescent="0.35">
      <c r="A42">
        <f t="shared" si="0"/>
        <v>41</v>
      </c>
      <c r="B42">
        <v>61.7</v>
      </c>
    </row>
    <row r="43" spans="1:2" x14ac:dyDescent="0.35">
      <c r="A43">
        <f t="shared" si="0"/>
        <v>42</v>
      </c>
      <c r="B43">
        <v>62.3</v>
      </c>
    </row>
    <row r="44" spans="1:2" x14ac:dyDescent="0.35">
      <c r="A44">
        <f t="shared" si="0"/>
        <v>43</v>
      </c>
      <c r="B44" t="s">
        <v>33</v>
      </c>
    </row>
    <row r="45" spans="1:2" x14ac:dyDescent="0.35">
      <c r="A45">
        <f t="shared" si="0"/>
        <v>44</v>
      </c>
      <c r="B45">
        <v>54.5</v>
      </c>
    </row>
    <row r="46" spans="1:2" x14ac:dyDescent="0.35">
      <c r="A46">
        <f t="shared" si="0"/>
        <v>45</v>
      </c>
      <c r="B46" t="s">
        <v>34</v>
      </c>
    </row>
    <row r="47" spans="1:2" x14ac:dyDescent="0.35">
      <c r="A47">
        <f t="shared" si="0"/>
        <v>46</v>
      </c>
      <c r="B47" t="s">
        <v>35</v>
      </c>
    </row>
    <row r="48" spans="1:2" x14ac:dyDescent="0.35">
      <c r="A48">
        <f t="shared" si="0"/>
        <v>47</v>
      </c>
    </row>
    <row r="49" spans="1:2" x14ac:dyDescent="0.35">
      <c r="A49">
        <f t="shared" si="0"/>
        <v>48</v>
      </c>
      <c r="B49" t="s">
        <v>36</v>
      </c>
    </row>
    <row r="50" spans="1:2" x14ac:dyDescent="0.35">
      <c r="A50">
        <f t="shared" si="0"/>
        <v>49</v>
      </c>
      <c r="B50" t="s">
        <v>37</v>
      </c>
    </row>
    <row r="51" spans="1:2" x14ac:dyDescent="0.35">
      <c r="A51">
        <f t="shared" si="0"/>
        <v>50</v>
      </c>
      <c r="B51" t="s">
        <v>38</v>
      </c>
    </row>
    <row r="52" spans="1:2" x14ac:dyDescent="0.35">
      <c r="A52">
        <f t="shared" si="0"/>
        <v>51</v>
      </c>
      <c r="B52" t="s">
        <v>39</v>
      </c>
    </row>
    <row r="53" spans="1:2" x14ac:dyDescent="0.35">
      <c r="A53">
        <f t="shared" si="0"/>
        <v>52</v>
      </c>
      <c r="B53" t="s">
        <v>40</v>
      </c>
    </row>
    <row r="54" spans="1:2" x14ac:dyDescent="0.35">
      <c r="A54">
        <f t="shared" si="0"/>
        <v>53</v>
      </c>
    </row>
    <row r="55" spans="1:2" x14ac:dyDescent="0.35">
      <c r="A55">
        <f t="shared" si="0"/>
        <v>54</v>
      </c>
      <c r="B55" t="s">
        <v>36</v>
      </c>
    </row>
    <row r="56" spans="1:2" x14ac:dyDescent="0.35">
      <c r="A56">
        <f t="shared" si="0"/>
        <v>55</v>
      </c>
      <c r="B56" t="s">
        <v>36</v>
      </c>
    </row>
    <row r="57" spans="1:2" x14ac:dyDescent="0.35">
      <c r="A57">
        <f t="shared" si="0"/>
        <v>56</v>
      </c>
      <c r="B57" t="s">
        <v>41</v>
      </c>
    </row>
    <row r="58" spans="1:2" x14ac:dyDescent="0.35">
      <c r="A58">
        <f t="shared" si="0"/>
        <v>57</v>
      </c>
      <c r="B58" t="s">
        <v>36</v>
      </c>
    </row>
    <row r="59" spans="1:2" x14ac:dyDescent="0.35">
      <c r="A59">
        <f t="shared" si="0"/>
        <v>58</v>
      </c>
      <c r="B59" t="s">
        <v>36</v>
      </c>
    </row>
    <row r="60" spans="1:2" x14ac:dyDescent="0.35">
      <c r="A60">
        <f t="shared" si="0"/>
        <v>59</v>
      </c>
    </row>
    <row r="61" spans="1:2" x14ac:dyDescent="0.35">
      <c r="A61">
        <f t="shared" si="0"/>
        <v>60</v>
      </c>
      <c r="B61" t="s">
        <v>42</v>
      </c>
    </row>
    <row r="62" spans="1:2" x14ac:dyDescent="0.35">
      <c r="A62">
        <f t="shared" si="0"/>
        <v>61</v>
      </c>
    </row>
    <row r="63" spans="1:2" x14ac:dyDescent="0.35">
      <c r="A63">
        <f t="shared" si="0"/>
        <v>62</v>
      </c>
      <c r="B63" t="s">
        <v>43</v>
      </c>
    </row>
    <row r="64" spans="1:2" x14ac:dyDescent="0.35">
      <c r="A64">
        <f t="shared" si="0"/>
        <v>63</v>
      </c>
    </row>
    <row r="65" spans="1:2" x14ac:dyDescent="0.35">
      <c r="A65">
        <f t="shared" si="0"/>
        <v>64</v>
      </c>
      <c r="B65" t="s">
        <v>36</v>
      </c>
    </row>
    <row r="66" spans="1:2" x14ac:dyDescent="0.35">
      <c r="A66">
        <f t="shared" si="0"/>
        <v>65</v>
      </c>
      <c r="B66" t="s">
        <v>44</v>
      </c>
    </row>
    <row r="67" spans="1:2" x14ac:dyDescent="0.35">
      <c r="A67">
        <f t="shared" si="0"/>
        <v>66</v>
      </c>
    </row>
    <row r="68" spans="1:2" x14ac:dyDescent="0.35">
      <c r="A68">
        <f t="shared" ref="A68:A114" si="1">A67+1</f>
        <v>67</v>
      </c>
      <c r="B68" t="s">
        <v>36</v>
      </c>
    </row>
    <row r="69" spans="1:2" x14ac:dyDescent="0.35">
      <c r="A69">
        <f t="shared" si="1"/>
        <v>68</v>
      </c>
      <c r="B69" t="s">
        <v>45</v>
      </c>
    </row>
    <row r="70" spans="1:2" x14ac:dyDescent="0.35">
      <c r="A70">
        <f t="shared" si="1"/>
        <v>69</v>
      </c>
      <c r="B70" t="s">
        <v>46</v>
      </c>
    </row>
    <row r="71" spans="1:2" x14ac:dyDescent="0.35">
      <c r="A71">
        <f t="shared" si="1"/>
        <v>70</v>
      </c>
      <c r="B71" t="s">
        <v>47</v>
      </c>
    </row>
    <row r="72" spans="1:2" x14ac:dyDescent="0.35">
      <c r="A72">
        <f t="shared" si="1"/>
        <v>71</v>
      </c>
      <c r="B72" t="s">
        <v>36</v>
      </c>
    </row>
    <row r="73" spans="1:2" x14ac:dyDescent="0.35">
      <c r="A73">
        <f t="shared" si="1"/>
        <v>72</v>
      </c>
      <c r="B73" t="s">
        <v>48</v>
      </c>
    </row>
    <row r="74" spans="1:2" x14ac:dyDescent="0.35">
      <c r="A74">
        <f t="shared" si="1"/>
        <v>73</v>
      </c>
      <c r="B74" t="s">
        <v>36</v>
      </c>
    </row>
    <row r="75" spans="1:2" x14ac:dyDescent="0.35">
      <c r="A75">
        <f t="shared" si="1"/>
        <v>74</v>
      </c>
      <c r="B75" t="s">
        <v>49</v>
      </c>
    </row>
    <row r="76" spans="1:2" x14ac:dyDescent="0.35">
      <c r="A76">
        <f t="shared" si="1"/>
        <v>75</v>
      </c>
      <c r="B76" t="s">
        <v>50</v>
      </c>
    </row>
    <row r="77" spans="1:2" x14ac:dyDescent="0.35">
      <c r="A77">
        <f t="shared" si="1"/>
        <v>76</v>
      </c>
      <c r="B77" t="s">
        <v>51</v>
      </c>
    </row>
    <row r="78" spans="1:2" x14ac:dyDescent="0.35">
      <c r="A78">
        <f t="shared" si="1"/>
        <v>77</v>
      </c>
    </row>
    <row r="79" spans="1:2" x14ac:dyDescent="0.35">
      <c r="A79">
        <f t="shared" si="1"/>
        <v>78</v>
      </c>
      <c r="B79" t="s">
        <v>52</v>
      </c>
    </row>
    <row r="80" spans="1:2" x14ac:dyDescent="0.35">
      <c r="A80">
        <f t="shared" si="1"/>
        <v>79</v>
      </c>
      <c r="B80" t="s">
        <v>53</v>
      </c>
    </row>
    <row r="81" spans="1:2" x14ac:dyDescent="0.35">
      <c r="A81">
        <f t="shared" si="1"/>
        <v>80</v>
      </c>
      <c r="B81" t="s">
        <v>54</v>
      </c>
    </row>
    <row r="82" spans="1:2" x14ac:dyDescent="0.35">
      <c r="A82">
        <f t="shared" si="1"/>
        <v>81</v>
      </c>
      <c r="B82" t="s">
        <v>55</v>
      </c>
    </row>
    <row r="83" spans="1:2" x14ac:dyDescent="0.35">
      <c r="A83">
        <f t="shared" si="1"/>
        <v>82</v>
      </c>
      <c r="B83" t="s">
        <v>56</v>
      </c>
    </row>
    <row r="84" spans="1:2" x14ac:dyDescent="0.35">
      <c r="A84">
        <f t="shared" si="1"/>
        <v>83</v>
      </c>
    </row>
    <row r="85" spans="1:2" x14ac:dyDescent="0.35">
      <c r="A85">
        <f t="shared" si="1"/>
        <v>84</v>
      </c>
      <c r="B85" t="s">
        <v>57</v>
      </c>
    </row>
    <row r="86" spans="1:2" x14ac:dyDescent="0.35">
      <c r="A86">
        <f t="shared" si="1"/>
        <v>85</v>
      </c>
      <c r="B86" t="s">
        <v>58</v>
      </c>
    </row>
    <row r="87" spans="1:2" x14ac:dyDescent="0.35">
      <c r="A87">
        <f t="shared" si="1"/>
        <v>86</v>
      </c>
      <c r="B87" t="s">
        <v>59</v>
      </c>
    </row>
    <row r="88" spans="1:2" x14ac:dyDescent="0.35">
      <c r="A88">
        <f t="shared" si="1"/>
        <v>87</v>
      </c>
      <c r="B88" t="s">
        <v>60</v>
      </c>
    </row>
    <row r="89" spans="1:2" x14ac:dyDescent="0.35">
      <c r="A89">
        <f t="shared" si="1"/>
        <v>88</v>
      </c>
      <c r="B89" t="s">
        <v>61</v>
      </c>
    </row>
    <row r="90" spans="1:2" x14ac:dyDescent="0.35">
      <c r="A90">
        <f t="shared" si="1"/>
        <v>89</v>
      </c>
      <c r="B90" t="s">
        <v>62</v>
      </c>
    </row>
    <row r="91" spans="1:2" x14ac:dyDescent="0.35">
      <c r="A91">
        <f t="shared" si="1"/>
        <v>90</v>
      </c>
      <c r="B91" t="s">
        <v>63</v>
      </c>
    </row>
    <row r="92" spans="1:2" x14ac:dyDescent="0.35">
      <c r="A92">
        <f t="shared" si="1"/>
        <v>91</v>
      </c>
      <c r="B92" t="s">
        <v>64</v>
      </c>
    </row>
    <row r="93" spans="1:2" x14ac:dyDescent="0.35">
      <c r="A93">
        <f t="shared" si="1"/>
        <v>92</v>
      </c>
      <c r="B93" t="s">
        <v>65</v>
      </c>
    </row>
    <row r="94" spans="1:2" x14ac:dyDescent="0.35">
      <c r="A94">
        <f t="shared" si="1"/>
        <v>93</v>
      </c>
      <c r="B94" t="s">
        <v>66</v>
      </c>
    </row>
    <row r="95" spans="1:2" x14ac:dyDescent="0.35">
      <c r="A95">
        <f t="shared" si="1"/>
        <v>94</v>
      </c>
      <c r="B95" t="s">
        <v>67</v>
      </c>
    </row>
    <row r="96" spans="1:2" x14ac:dyDescent="0.35">
      <c r="A96">
        <f t="shared" si="1"/>
        <v>95</v>
      </c>
      <c r="B96" t="s">
        <v>68</v>
      </c>
    </row>
    <row r="97" spans="1:2" x14ac:dyDescent="0.35">
      <c r="A97">
        <f t="shared" si="1"/>
        <v>96</v>
      </c>
      <c r="B97" t="s">
        <v>69</v>
      </c>
    </row>
    <row r="98" spans="1:2" x14ac:dyDescent="0.35">
      <c r="A98">
        <f t="shared" si="1"/>
        <v>97</v>
      </c>
      <c r="B98" t="s">
        <v>70</v>
      </c>
    </row>
    <row r="99" spans="1:2" x14ac:dyDescent="0.35">
      <c r="A99">
        <f t="shared" si="1"/>
        <v>98</v>
      </c>
      <c r="B99" t="s">
        <v>71</v>
      </c>
    </row>
    <row r="100" spans="1:2" x14ac:dyDescent="0.35">
      <c r="A100">
        <f t="shared" si="1"/>
        <v>99</v>
      </c>
      <c r="B100" t="s">
        <v>72</v>
      </c>
    </row>
    <row r="101" spans="1:2" x14ac:dyDescent="0.35">
      <c r="A101">
        <f t="shared" si="1"/>
        <v>100</v>
      </c>
      <c r="B101" t="s">
        <v>73</v>
      </c>
    </row>
    <row r="102" spans="1:2" x14ac:dyDescent="0.35">
      <c r="A102">
        <f t="shared" si="1"/>
        <v>101</v>
      </c>
      <c r="B102" t="s">
        <v>74</v>
      </c>
    </row>
    <row r="103" spans="1:2" x14ac:dyDescent="0.35">
      <c r="A103">
        <f t="shared" si="1"/>
        <v>102</v>
      </c>
      <c r="B103" t="s">
        <v>75</v>
      </c>
    </row>
    <row r="104" spans="1:2" x14ac:dyDescent="0.35">
      <c r="A104">
        <f t="shared" si="1"/>
        <v>103</v>
      </c>
      <c r="B104" t="s">
        <v>76</v>
      </c>
    </row>
    <row r="105" spans="1:2" x14ac:dyDescent="0.35">
      <c r="A105">
        <f t="shared" si="1"/>
        <v>104</v>
      </c>
      <c r="B105" t="s">
        <v>77</v>
      </c>
    </row>
    <row r="106" spans="1:2" x14ac:dyDescent="0.35">
      <c r="A106">
        <f t="shared" si="1"/>
        <v>105</v>
      </c>
    </row>
    <row r="107" spans="1:2" x14ac:dyDescent="0.35">
      <c r="A107">
        <f t="shared" si="1"/>
        <v>106</v>
      </c>
      <c r="B107" t="s">
        <v>78</v>
      </c>
    </row>
    <row r="108" spans="1:2" x14ac:dyDescent="0.35">
      <c r="A108">
        <f t="shared" si="1"/>
        <v>107</v>
      </c>
      <c r="B108" t="s">
        <v>79</v>
      </c>
    </row>
    <row r="109" spans="1:2" x14ac:dyDescent="0.35">
      <c r="A109">
        <f t="shared" si="1"/>
        <v>108</v>
      </c>
      <c r="B109" t="s">
        <v>80</v>
      </c>
    </row>
    <row r="110" spans="1:2" x14ac:dyDescent="0.35">
      <c r="A110">
        <f t="shared" si="1"/>
        <v>109</v>
      </c>
      <c r="B110" t="s">
        <v>81</v>
      </c>
    </row>
    <row r="111" spans="1:2" x14ac:dyDescent="0.35">
      <c r="A111">
        <f t="shared" si="1"/>
        <v>110</v>
      </c>
    </row>
    <row r="112" spans="1:2" x14ac:dyDescent="0.35">
      <c r="A112">
        <f t="shared" si="1"/>
        <v>111</v>
      </c>
      <c r="B112" t="s">
        <v>82</v>
      </c>
    </row>
    <row r="113" spans="1:2" x14ac:dyDescent="0.35">
      <c r="A113">
        <f t="shared" si="1"/>
        <v>112</v>
      </c>
      <c r="B113" t="s">
        <v>83</v>
      </c>
    </row>
    <row r="114" spans="1:2" x14ac:dyDescent="0.35">
      <c r="A114">
        <f t="shared" si="1"/>
        <v>113</v>
      </c>
      <c r="B11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Southampton NHS Foundation Trust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Goddard-Fletcher, Benjamin</dc:creator>
  <cp:lastModifiedBy>Benjamin Goddard-Fletcher</cp:lastModifiedBy>
  <dcterms:created xsi:type="dcterms:W3CDTF">2026-06-08T09:37:25Z</dcterms:created>
  <dcterms:modified xsi:type="dcterms:W3CDTF">2026-06-09T14:53:31Z</dcterms:modified>
</cp:coreProperties>
</file>